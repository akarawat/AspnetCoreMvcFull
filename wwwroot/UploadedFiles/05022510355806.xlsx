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S:\Production\Tak Student\Milling\Part list for qr code\"/>
    </mc:Choice>
  </mc:AlternateContent>
  <xr:revisionPtr revIDLastSave="0" documentId="13_ncr:1_{7368F08C-9D03-4F90-971E-8F72ECD74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itch Plate Carrier" sheetId="1" r:id="rId1"/>
    <sheet name="Stitch Length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7" i="1"/>
  <c r="B8" i="1"/>
  <c r="B9" i="1"/>
  <c r="B10" i="1"/>
  <c r="B11" i="1"/>
  <c r="B12" i="1"/>
  <c r="B13" i="1"/>
  <c r="B14" i="1"/>
  <c r="B6" i="1"/>
</calcChain>
</file>

<file path=xl/sharedStrings.xml><?xml version="1.0" encoding="utf-8"?>
<sst xmlns="http://schemas.openxmlformats.org/spreadsheetml/2006/main" count="46" uniqueCount="11">
  <si>
    <t>Item number</t>
  </si>
  <si>
    <t>Name</t>
  </si>
  <si>
    <t>Operation</t>
  </si>
  <si>
    <t>Product name</t>
  </si>
  <si>
    <t>Tool life</t>
  </si>
  <si>
    <t>Qty.</t>
  </si>
  <si>
    <t>Stitch Plate Carrier</t>
  </si>
  <si>
    <t>1040995.0.00</t>
  </si>
  <si>
    <t>Stitch Length</t>
  </si>
  <si>
    <t>Item Number2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</si>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</sst>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4" fillId="2" borderId="0" xfId="1" applyNumberFormat="1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18">
    <dxf>
      <font>
        <b val="0"/>
        <strike val="0"/>
        <outline val="0"/>
        <shadow val="0"/>
        <u val="none"/>
        <vertAlign val="baseline"/>
        <sz val="1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right" textRotation="0" wrapText="0" indent="0" justifyLastLine="0" shrinkToFit="0" readingOrder="0"/>
      <border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center" textRotation="0" wrapText="0" indent="0" justifyLastLine="0" shrinkToFit="0" readingOrder="0"/>
      <border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15</xdr:row>
      <xdr:rowOff>104775</xdr:rowOff>
    </xdr:from>
    <xdr:to>
      <xdr:col>1</xdr:col>
      <xdr:colOff>3800887</xdr:colOff>
      <xdr:row>32</xdr:row>
      <xdr:rowOff>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AEDB4-CAF8-786E-74B9-62D3F74B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2971800"/>
          <a:ext cx="2953162" cy="3134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8</xdr:row>
      <xdr:rowOff>104775</xdr:rowOff>
    </xdr:from>
    <xdr:to>
      <xdr:col>1</xdr:col>
      <xdr:colOff>3705637</xdr:colOff>
      <xdr:row>25</xdr:row>
      <xdr:rowOff>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0C8CC6-69B1-1082-1E17-9D4EBFB02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2905125"/>
          <a:ext cx="2953162" cy="3134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567" displayName="Table14567" ref="A5:G14" totalsRowShown="0" headerRowDxfId="17" dataDxfId="16">
  <autoFilter ref="A5:G14" xr:uid="{00000000-0009-0000-0100-000001000000}"/>
  <sortState xmlns:xlrd2="http://schemas.microsoft.com/office/spreadsheetml/2017/richdata2" ref="A6:D7">
    <sortCondition ref="A5:A7"/>
  </sortState>
  <tableColumns count="7">
    <tableColumn id="1" xr3:uid="{00000000-0010-0000-0000-000001000000}" name="Item number" dataDxfId="15" dataCellStyle="Normal 2"/>
    <tableColumn id="2" xr3:uid="{00000000-0010-0000-0000-000002000000}" name="Product name" dataDxfId="14">
      <calculatedColumnFormula>VLOOKUP(Table14567[[#This Row],[Item number]],[1]Sheet1!$A:$B,2,0)</calculatedColumnFormula>
    </tableColumn>
    <tableColumn id="3" xr3:uid="{00000000-0010-0000-0000-000003000000}" name="Tool life" dataDxfId="13" dataCellStyle="Normal 2"/>
    <tableColumn id="4" xr3:uid="{00000000-0010-0000-0000-000004000000}" name="Qty." dataDxfId="12"/>
    <tableColumn id="5" xr3:uid="{01A55BEC-BDF1-42EB-8312-AA6B40E57E46}" name="Item Number2" dataDxfId="6"/>
    <tableColumn id="6" xr3:uid="{D6FF0A3E-7FE2-4BDF-B806-D16830893C2F}" name="Item Name" dataDxfId="4"/>
    <tableColumn id="7" xr3:uid="{DA6E3162-C298-4353-8688-7422B890FEBE}" name="Operation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5673" displayName="Table145673" ref="A5:G7" totalsRowShown="0" headerRowDxfId="11" dataDxfId="10">
  <autoFilter ref="A5:G7" xr:uid="{00000000-0009-0000-0100-000002000000}"/>
  <sortState xmlns:xlrd2="http://schemas.microsoft.com/office/spreadsheetml/2017/richdata2" ref="A6:D7">
    <sortCondition ref="A5:A7"/>
  </sortState>
  <tableColumns count="7">
    <tableColumn id="1" xr3:uid="{00000000-0010-0000-0100-000001000000}" name="Item number" dataDxfId="9" dataCellStyle="Normal 2"/>
    <tableColumn id="2" xr3:uid="{00000000-0010-0000-0100-000002000000}" name="Product name" dataDxfId="8">
      <calculatedColumnFormula>VLOOKUP(Table145673[[#This Row],[Item number]],[1]Sheet1!$A:$B,2,0)</calculatedColumnFormula>
    </tableColumn>
    <tableColumn id="3" xr3:uid="{00000000-0010-0000-0100-000003000000}" name="Tool life" dataDxfId="7" dataCellStyle="Normal 2"/>
    <tableColumn id="4" xr3:uid="{00000000-0010-0000-0100-000004000000}" name="Qty." dataDxfId="3"/>
    <tableColumn id="5" xr3:uid="{34C09D38-D990-4F7E-B92A-0B8FF646ABD3}" name="Item Number2" dataDxfId="2"/>
    <tableColumn id="6" xr3:uid="{738F5E85-C485-408B-B4B0-05C38AFFB00E}" name="Item Name" dataDxfId="1"/>
    <tableColumn id="7" xr3:uid="{7017B3A9-EAB2-4739-9796-AA4947422CDC}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7</v>
      </c>
    </row>
    <row r="2" spans="1:7" x14ac:dyDescent="0.25">
      <c r="A2" t="s">
        <v>1</v>
      </c>
      <c r="B2" t="s">
        <v>6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9</v>
      </c>
      <c r="F5" s="2" t="s">
        <v>10</v>
      </c>
      <c r="G5" s="2" t="s">
        <v>2</v>
      </c>
    </row>
    <row r="6" spans="1:7" x14ac:dyDescent="0.25">
      <c r="A6" s="3">
        <v>1042006203</v>
      </c>
      <c r="B6" s="6" t="str">
        <f>VLOOKUP(Table14567[[#This Row],[Item number]],[1]Sheet1!$A:$B,2,0)</f>
        <v>ENDMILL MC Ø6X16XØ6X50, Z=4 ALTiN</v>
      </c>
      <c r="C6" s="4">
        <v>1200</v>
      </c>
      <c r="D6" s="5">
        <v>1</v>
      </c>
      <c r="E6" s="8" t="s">
        <v>7</v>
      </c>
      <c r="F6" s="11" t="s">
        <v>6</v>
      </c>
      <c r="G6" s="10">
        <v>10</v>
      </c>
    </row>
    <row r="7" spans="1:7" x14ac:dyDescent="0.25">
      <c r="A7" s="3">
        <v>1042002213</v>
      </c>
      <c r="B7" s="6" t="str">
        <f>VLOOKUP(Table14567[[#This Row],[Item number]],[1]Sheet1!$A:$B,2,0)</f>
        <v>ENDMILL MC Ø2X6X6X50,Z4</v>
      </c>
      <c r="C7" s="4">
        <v>400</v>
      </c>
      <c r="D7" s="5">
        <v>1</v>
      </c>
      <c r="E7" s="8" t="s">
        <v>7</v>
      </c>
      <c r="F7" s="11" t="s">
        <v>6</v>
      </c>
      <c r="G7" s="10">
        <v>10</v>
      </c>
    </row>
    <row r="8" spans="1:7" x14ac:dyDescent="0.25">
      <c r="A8" s="3">
        <v>1042004602</v>
      </c>
      <c r="B8" s="6" t="str">
        <f>VLOOKUP(Table14567[[#This Row],[Item number]],[1]Sheet1!$A:$B,2,0)</f>
        <v>ENDMILL MC Ø4.0X11XØ6X50, Z=4 ALTiN</v>
      </c>
      <c r="C8" s="4">
        <v>400</v>
      </c>
      <c r="D8" s="5">
        <v>1</v>
      </c>
      <c r="E8" s="8" t="s">
        <v>7</v>
      </c>
      <c r="F8" s="11" t="s">
        <v>6</v>
      </c>
      <c r="G8" s="10">
        <v>10</v>
      </c>
    </row>
    <row r="9" spans="1:7" x14ac:dyDescent="0.25">
      <c r="A9" s="3">
        <v>1025040121</v>
      </c>
      <c r="B9" s="6" t="str">
        <f>VLOOKUP(Table14567[[#This Row],[Item number]],[1]Sheet1!$A:$B,2,0)</f>
        <v>CENTERDRILL MC 90° Ø4X10X50,Z=2HM</v>
      </c>
      <c r="C9" s="4">
        <v>1000</v>
      </c>
      <c r="D9" s="5">
        <v>1</v>
      </c>
      <c r="E9" s="8" t="s">
        <v>7</v>
      </c>
      <c r="F9" s="11" t="s">
        <v>6</v>
      </c>
      <c r="G9" s="10">
        <v>10</v>
      </c>
    </row>
    <row r="10" spans="1:7" x14ac:dyDescent="0.25">
      <c r="A10" s="3">
        <v>1042002213</v>
      </c>
      <c r="B10" s="6" t="str">
        <f>VLOOKUP(Table14567[[#This Row],[Item number]],[1]Sheet1!$A:$B,2,0)</f>
        <v>ENDMILL MC Ø2X6X6X50,Z4</v>
      </c>
      <c r="C10" s="4">
        <v>400</v>
      </c>
      <c r="D10" s="5">
        <v>1</v>
      </c>
      <c r="E10" s="8" t="s">
        <v>7</v>
      </c>
      <c r="F10" s="11" t="s">
        <v>6</v>
      </c>
      <c r="G10" s="10">
        <v>10</v>
      </c>
    </row>
    <row r="11" spans="1:7" x14ac:dyDescent="0.25">
      <c r="A11" s="3">
        <v>1031025106</v>
      </c>
      <c r="B11" s="6" t="str">
        <f>VLOOKUP(Table14567[[#This Row],[Item number]],[1]Sheet1!$A:$B,2,0)</f>
        <v>TAP M2.5X0.45-6G HSS-E COMBO DIN371 SPIRAL FLUTE TAP</v>
      </c>
      <c r="C11" s="4">
        <v>420</v>
      </c>
      <c r="D11" s="5">
        <v>1</v>
      </c>
      <c r="E11" s="8" t="s">
        <v>7</v>
      </c>
      <c r="F11" s="11" t="s">
        <v>6</v>
      </c>
      <c r="G11" s="10">
        <v>10</v>
      </c>
    </row>
    <row r="12" spans="1:7" x14ac:dyDescent="0.25">
      <c r="A12" s="3">
        <v>1021023120</v>
      </c>
      <c r="B12" s="6" t="str">
        <f>VLOOKUP(Table14567[[#This Row],[Item number]],[1]Sheet1!$A:$B,2,0)</f>
        <v>TWIST DRILL MC Ø2.3X27X53, Z=2</v>
      </c>
      <c r="C12" s="4">
        <v>1000</v>
      </c>
      <c r="D12" s="5">
        <v>1</v>
      </c>
      <c r="E12" s="8" t="s">
        <v>7</v>
      </c>
      <c r="F12" s="11" t="s">
        <v>6</v>
      </c>
      <c r="G12" s="10">
        <v>10</v>
      </c>
    </row>
    <row r="13" spans="1:7" x14ac:dyDescent="0.25">
      <c r="A13" s="3">
        <v>1221025121</v>
      </c>
      <c r="B13" s="6" t="str">
        <f>VLOOKUP(Table14567[[#This Row],[Item number]],[1]Sheet1!$A:$B,2,0)</f>
        <v>REAMER MC Ø2.51 (0/+0.004)X16X32XØ3X28X60 Z=4</v>
      </c>
      <c r="C13" s="4">
        <v>2000</v>
      </c>
      <c r="D13" s="5">
        <v>1</v>
      </c>
      <c r="E13" s="8" t="s">
        <v>7</v>
      </c>
      <c r="F13" s="11" t="s">
        <v>6</v>
      </c>
      <c r="G13" s="10">
        <v>10</v>
      </c>
    </row>
    <row r="14" spans="1:7" x14ac:dyDescent="0.25">
      <c r="A14" s="3">
        <v>1221024120</v>
      </c>
      <c r="B14" s="6" t="str">
        <f>VLOOKUP(Table14567[[#This Row],[Item number]],[1]Sheet1!$A:$B,2,0)</f>
        <v>REAMER MC Ø2.48 (0/+0.003) X18XØ2.48X57 Z=6</v>
      </c>
      <c r="C14" s="4">
        <v>2000</v>
      </c>
      <c r="D14" s="5">
        <v>1</v>
      </c>
      <c r="E14" s="8" t="s">
        <v>7</v>
      </c>
      <c r="F14" s="11" t="s">
        <v>6</v>
      </c>
      <c r="G14" s="10">
        <v>10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7" sqref="C1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14.25" customHeight="1" x14ac:dyDescent="0.25">
      <c r="A1" t="s">
        <v>0</v>
      </c>
      <c r="B1" t="s">
        <v>7</v>
      </c>
    </row>
    <row r="2" spans="1:7" x14ac:dyDescent="0.25">
      <c r="A2" t="s">
        <v>1</v>
      </c>
      <c r="B2" t="s">
        <v>8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9" t="s">
        <v>9</v>
      </c>
      <c r="F5" s="9" t="s">
        <v>10</v>
      </c>
      <c r="G5" s="9" t="s">
        <v>2</v>
      </c>
    </row>
    <row r="6" spans="1:7" x14ac:dyDescent="0.25">
      <c r="A6" s="3">
        <v>1028036120</v>
      </c>
      <c r="B6" s="6" t="str">
        <f>VLOOKUP(Table145673[[#This Row],[Item number]],[1]Sheet1!$A:$B,2,0)</f>
        <v>STEP DRILL MC Ø3.63X10XØ4.4X64 Z=2</v>
      </c>
      <c r="C6" s="4">
        <v>100</v>
      </c>
      <c r="D6" s="5">
        <v>1</v>
      </c>
      <c r="E6" s="12" t="s">
        <v>7</v>
      </c>
      <c r="F6" s="12" t="s">
        <v>8</v>
      </c>
      <c r="G6" s="12">
        <v>10</v>
      </c>
    </row>
    <row r="7" spans="1:7" x14ac:dyDescent="0.25">
      <c r="A7" s="3">
        <v>1025040121</v>
      </c>
      <c r="B7" s="7" t="str">
        <f>VLOOKUP(Table145673[[#This Row],[Item number]],[1]Sheet1!$A:$B,2,0)</f>
        <v>CENTERDRILL MC 90° Ø4X10X50,Z=2HM</v>
      </c>
      <c r="C7" s="4">
        <v>300</v>
      </c>
      <c r="D7" s="5">
        <v>1</v>
      </c>
      <c r="E7" s="12" t="s">
        <v>7</v>
      </c>
      <c r="F7" s="12" t="s">
        <v>8</v>
      </c>
      <c r="G7" s="12">
        <v>10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Stitch Plate Carrier</vt:lpstr>
      <vt:lpstr>Stitch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Prajoub Kantakat</cp:lastModifiedBy>
  <dcterms:created xsi:type="dcterms:W3CDTF">2024-12-25T09:25:25Z</dcterms:created>
  <dcterms:modified xsi:type="dcterms:W3CDTF">2025-01-24T01:32:47Z</dcterms:modified>
</cp:coreProperties>
</file>