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Production\Part Production\Tools inventory\Cost Reduction Activity\QR Code - Item number\Milling\Part list for qr code\"/>
    </mc:Choice>
  </mc:AlternateContent>
  <bookViews>
    <workbookView xWindow="28680" yWindow="-120" windowWidth="29040" windowHeight="15720"/>
  </bookViews>
  <sheets>
    <sheet name="Stand" sheetId="1" r:id="rId1"/>
    <sheet name="Socl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4" i="2"/>
  <c r="B15" i="2"/>
  <c r="B18" i="2"/>
  <c r="B17" i="2"/>
  <c r="B16" i="2"/>
  <c r="B13" i="2"/>
  <c r="B11" i="2"/>
  <c r="B10" i="2"/>
  <c r="B9" i="2"/>
  <c r="B8" i="2"/>
  <c r="B7" i="2"/>
  <c r="B6" i="2"/>
  <c r="B6" i="1" l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<sst xmlns="http://schemas.openxmlformats.org/spreadsheetml/2006/main" count="63" uniqueCount="15">
  <si>
    <t>Item number</t>
  </si>
  <si>
    <t>Name</t>
  </si>
  <si>
    <t>Operation</t>
  </si>
  <si>
    <t>Product name</t>
  </si>
  <si>
    <t>Tool life</t>
  </si>
  <si>
    <t>Qty.</t>
  </si>
  <si>
    <t>Stand</t>
  </si>
  <si>
    <t>0332765.6.00</t>
  </si>
  <si>
    <t>300</t>
  </si>
  <si>
    <t>0335385.6.00</t>
  </si>
  <si>
    <t>Socle</t>
  </si>
  <si>
    <t>Item Number2</t>
  </si>
  <si>
    <t>Item Name</t>
  </si>
  <si>
    <t>Stand Machined</t>
  </si>
  <si>
    <t>Socle machined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</si>
</sst>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1" fontId="1" fillId="0" borderId="1" xfId="1" applyNumberFormat="1" applyFont="1" applyBorder="1" applyAlignment="1">
      <alignment vertical="center"/>
    </xf>
    <xf numFmtId="1" fontId="1" fillId="0" borderId="2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vertical="center"/>
    </xf>
    <xf numFmtId="1" fontId="0" fillId="0" borderId="3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1" applyNumberFormat="1" applyFont="1" applyBorder="1" applyAlignment="1">
      <alignment vertical="center"/>
    </xf>
    <xf numFmtId="1" fontId="1" fillId="0" borderId="0" xfId="1" applyNumberFormat="1" applyFont="1" applyBorder="1" applyAlignment="1">
      <alignment vertical="center"/>
    </xf>
  </cellXfs>
  <cellStyles count="3">
    <cellStyle name="Normal" xfId="0" builtinId="0"/>
    <cellStyle name="Normal 2" xfId="2"/>
    <cellStyle name="Normal 4" xfId="1"/>
  </cellStyles>
  <dxfs count="1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12</xdr:row>
      <xdr:rowOff>15240</xdr:rowOff>
    </xdr:from>
    <xdr:to>
      <xdr:col>1</xdr:col>
      <xdr:colOff>2410284</xdr:colOff>
      <xdr:row>34</xdr:row>
      <xdr:rowOff>74869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FBD262-B5F6-776C-A900-B10909E9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2278380"/>
          <a:ext cx="3591384" cy="3915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</xdr:colOff>
      <xdr:row>19</xdr:row>
      <xdr:rowOff>15240</xdr:rowOff>
    </xdr:from>
    <xdr:to>
      <xdr:col>1</xdr:col>
      <xdr:colOff>2435049</xdr:colOff>
      <xdr:row>42</xdr:row>
      <xdr:rowOff>21529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F65BC-6E12-0FF2-45DD-890E6C5F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" y="3611880"/>
          <a:ext cx="3591384" cy="40372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45673456789" displayName="Table145673456789" ref="A5:G11" totalsRowShown="0" headerRowDxfId="15">
  <autoFilter ref="A5:G11"/>
  <sortState ref="A6:D6">
    <sortCondition ref="A2:A3"/>
  </sortState>
  <tableColumns count="7">
    <tableColumn id="1" name="Item number" dataDxfId="14" dataCellStyle="Normal 2"/>
    <tableColumn id="2" name="Product name" dataDxfId="13" dataCellStyle="Normal 4">
      <calculatedColumnFormula>VLOOKUP(Table145673456789[[#This Row],[Item number]],[1]Sheet1!$A:$B,2,0)</calculatedColumnFormula>
    </tableColumn>
    <tableColumn id="3" name="Tool life" dataDxfId="12" dataCellStyle="Normal 2"/>
    <tableColumn id="4" name="Qty." dataDxfId="11" dataCellStyle="Normal 4"/>
    <tableColumn id="5" name="Item Number2" dataDxfId="10"/>
    <tableColumn id="6" name="Item Name" dataDxfId="9"/>
    <tableColumn id="7" name="Operation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1456734567893" displayName="Table1456734567893" ref="A5:G18" totalsRowShown="0" headerRowDxfId="7">
  <autoFilter ref="A5:G18"/>
  <sortState ref="A6:D6">
    <sortCondition ref="A2:A3"/>
  </sortState>
  <tableColumns count="7">
    <tableColumn id="1" name="Item number" dataDxfId="6" dataCellStyle="Normal 2"/>
    <tableColumn id="2" name="Product name" dataDxfId="5" dataCellStyle="Normal 4">
      <calculatedColumnFormula>VLOOKUP(Table1456734567893[[#This Row],[Item number]],[1]Sheet1!$A:$B,2,0)</calculatedColumnFormula>
    </tableColumn>
    <tableColumn id="3" name="Tool life" dataDxfId="4" dataCellStyle="Normal 2"/>
    <tableColumn id="4" name="Qty." dataDxfId="3" dataCellStyle="Normal 4"/>
    <tableColumn id="5" name="Item Number2" dataDxfId="2"/>
    <tableColumn id="6" name="Item Name" dataDxfId="1"/>
    <tableColumn id="7" name="Oper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27" sqref="D27"/>
    </sheetView>
  </sheetViews>
  <sheetFormatPr defaultRowHeight="13.8"/>
  <cols>
    <col min="1" max="1" width="18.69921875" customWidth="1"/>
    <col min="2" max="2" width="65.69921875" customWidth="1"/>
    <col min="3" max="3" width="15.69921875" customWidth="1"/>
    <col min="4" max="4" width="10.69921875" customWidth="1"/>
    <col min="5" max="5" width="20.69921875" customWidth="1"/>
    <col min="6" max="6" width="17.69921875" customWidth="1"/>
    <col min="7" max="7" width="15.69921875" customWidth="1"/>
  </cols>
  <sheetData>
    <row r="1" spans="1:7" ht="15">
      <c r="A1" t="s">
        <v>0</v>
      </c>
      <c r="B1" s="11" t="s">
        <v>7</v>
      </c>
      <c r="C1" s="12"/>
      <c r="D1" s="12"/>
      <c r="E1" s="12"/>
    </row>
    <row r="2" spans="1:7" ht="15">
      <c r="A2" t="s">
        <v>1</v>
      </c>
      <c r="B2" t="s">
        <v>13</v>
      </c>
    </row>
    <row r="3" spans="1:7" ht="15">
      <c r="A3" t="s">
        <v>2</v>
      </c>
      <c r="B3" s="1">
        <v>10</v>
      </c>
    </row>
    <row r="5" spans="1:7" ht="15.75">
      <c r="A5" s="2" t="s">
        <v>0</v>
      </c>
      <c r="B5" s="2" t="s">
        <v>3</v>
      </c>
      <c r="C5" s="2" t="s">
        <v>4</v>
      </c>
      <c r="D5" s="2" t="s">
        <v>5</v>
      </c>
      <c r="E5" s="2" t="s">
        <v>11</v>
      </c>
      <c r="F5" s="2" t="s">
        <v>12</v>
      </c>
      <c r="G5" s="2" t="s">
        <v>2</v>
      </c>
    </row>
    <row r="6" spans="1:7" ht="15">
      <c r="A6" s="3">
        <v>1042010400</v>
      </c>
      <c r="B6" s="4" t="str">
        <f>VLOOKUP(Table145673456789[[#This Row],[Item number]],[1]Sheet1!$A:$B,2,0)</f>
        <v>ENDMILL MC Ø10.0(R0.3)X10X14X100 Z=3</v>
      </c>
      <c r="C6" s="3">
        <v>900</v>
      </c>
      <c r="D6" s="5">
        <v>1</v>
      </c>
      <c r="E6" s="8" t="s">
        <v>7</v>
      </c>
      <c r="F6" s="8" t="s">
        <v>6</v>
      </c>
      <c r="G6" s="8">
        <v>10</v>
      </c>
    </row>
    <row r="7" spans="1:7" ht="15">
      <c r="A7" s="3">
        <v>1026050121</v>
      </c>
      <c r="B7" s="6" t="str">
        <f>VLOOKUP(Table145673456789[[#This Row],[Item number]],[1]Sheet1!$A:$B,2,0)</f>
        <v>SPOTTING DRILL 90° MC Ø5X13X50,Z=2</v>
      </c>
      <c r="C7" s="3">
        <v>1500</v>
      </c>
      <c r="D7" s="5">
        <v>1</v>
      </c>
      <c r="E7" s="8" t="s">
        <v>7</v>
      </c>
      <c r="F7" s="8" t="s">
        <v>6</v>
      </c>
      <c r="G7" s="8">
        <v>10</v>
      </c>
    </row>
    <row r="8" spans="1:7" ht="15">
      <c r="A8" s="3">
        <v>1042004602</v>
      </c>
      <c r="B8" s="6" t="str">
        <f>VLOOKUP(Table145673456789[[#This Row],[Item number]],[1]Sheet1!$A:$B,2,0)</f>
        <v>ENDMILL MC Ø4.0X11XØ6X50, Z=4 ALTiN</v>
      </c>
      <c r="C8" s="3">
        <v>500</v>
      </c>
      <c r="D8" s="5">
        <v>1</v>
      </c>
      <c r="E8" s="8" t="s">
        <v>7</v>
      </c>
      <c r="F8" s="8" t="s">
        <v>6</v>
      </c>
      <c r="G8" s="8">
        <v>10</v>
      </c>
    </row>
    <row r="9" spans="1:7" ht="15">
      <c r="A9" s="3">
        <v>1042010400</v>
      </c>
      <c r="B9" s="6" t="str">
        <f>VLOOKUP(Table145673456789[[#This Row],[Item number]],[1]Sheet1!$A:$B,2,0)</f>
        <v>ENDMILL MC Ø10.0(R0.3)X10X14X100 Z=3</v>
      </c>
      <c r="C9" s="3">
        <v>450</v>
      </c>
      <c r="D9" s="5">
        <v>1</v>
      </c>
      <c r="E9" s="8" t="s">
        <v>7</v>
      </c>
      <c r="F9" s="8" t="s">
        <v>6</v>
      </c>
      <c r="G9" s="8">
        <v>10</v>
      </c>
    </row>
    <row r="10" spans="1:7" ht="15">
      <c r="A10" s="3">
        <v>1221049111</v>
      </c>
      <c r="B10" s="6" t="str">
        <f>VLOOKUP(Table145673456789[[#This Row],[Item number]],[1]Sheet1!$A:$B,2,0)</f>
        <v>REAMER HSS Ø4.97(0/+0.004)X23X60X86 Z=6</v>
      </c>
      <c r="C10" s="3">
        <v>900</v>
      </c>
      <c r="D10" s="5">
        <v>1</v>
      </c>
      <c r="E10" s="8" t="s">
        <v>7</v>
      </c>
      <c r="F10" s="8" t="s">
        <v>6</v>
      </c>
      <c r="G10" s="8">
        <v>10</v>
      </c>
    </row>
    <row r="11" spans="1:7" ht="15">
      <c r="A11" s="3">
        <v>1021045120</v>
      </c>
      <c r="B11" s="6" t="str">
        <f>VLOOKUP(Table145673456789[[#This Row],[Item number]],[1]Sheet1!$A:$B,2,0)</f>
        <v>DRILL MC Ø4.5X74 MM.</v>
      </c>
      <c r="C11" s="3">
        <v>900</v>
      </c>
      <c r="D11" s="5">
        <v>1</v>
      </c>
      <c r="E11" s="8" t="s">
        <v>7</v>
      </c>
      <c r="F11" s="8" t="s">
        <v>6</v>
      </c>
      <c r="G11" s="8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26" sqref="E26"/>
    </sheetView>
  </sheetViews>
  <sheetFormatPr defaultRowHeight="13.8"/>
  <cols>
    <col min="1" max="1" width="18.69921875" customWidth="1"/>
    <col min="2" max="2" width="65.69921875" customWidth="1"/>
    <col min="3" max="3" width="15.69921875" customWidth="1"/>
    <col min="4" max="4" width="10.69921875" customWidth="1"/>
    <col min="5" max="5" width="20.69921875" customWidth="1"/>
    <col min="6" max="6" width="17.69921875" customWidth="1"/>
    <col min="7" max="7" width="15.69921875" customWidth="1"/>
  </cols>
  <sheetData>
    <row r="1" spans="1:7" ht="15">
      <c r="A1" t="s">
        <v>0</v>
      </c>
      <c r="B1" s="11" t="s">
        <v>9</v>
      </c>
      <c r="C1" s="11"/>
      <c r="D1" s="11"/>
      <c r="E1" s="11"/>
    </row>
    <row r="2" spans="1:7" ht="15">
      <c r="A2" t="s">
        <v>1</v>
      </c>
      <c r="B2" s="12" t="s">
        <v>14</v>
      </c>
      <c r="C2" s="12"/>
      <c r="D2" s="12"/>
      <c r="E2" s="12"/>
    </row>
    <row r="3" spans="1:7" ht="15">
      <c r="A3" t="s">
        <v>2</v>
      </c>
      <c r="B3" s="1">
        <v>10</v>
      </c>
    </row>
    <row r="5" spans="1:7" ht="15.75">
      <c r="A5" s="2" t="s">
        <v>0</v>
      </c>
      <c r="B5" s="2" t="s">
        <v>3</v>
      </c>
      <c r="C5" s="2" t="s">
        <v>4</v>
      </c>
      <c r="D5" s="2" t="s">
        <v>5</v>
      </c>
      <c r="E5" s="2" t="s">
        <v>11</v>
      </c>
      <c r="F5" s="2" t="s">
        <v>12</v>
      </c>
      <c r="G5" s="2" t="s">
        <v>2</v>
      </c>
    </row>
    <row r="6" spans="1:7" ht="15">
      <c r="A6" s="3">
        <v>1042010400</v>
      </c>
      <c r="B6" s="4" t="str">
        <f>VLOOKUP(Table1456734567893[[#This Row],[Item number]],[1]Sheet1!$A:$B,2,0)</f>
        <v>ENDMILL MC Ø10.0(R0.3)X10X14X100 Z=3</v>
      </c>
      <c r="C6" s="3" t="s">
        <v>8</v>
      </c>
      <c r="D6" s="5">
        <v>1</v>
      </c>
      <c r="E6" s="8" t="s">
        <v>9</v>
      </c>
      <c r="F6" s="9" t="s">
        <v>10</v>
      </c>
      <c r="G6" s="10">
        <v>10</v>
      </c>
    </row>
    <row r="7" spans="1:7" ht="15">
      <c r="A7" s="3">
        <v>1042004602</v>
      </c>
      <c r="B7" s="6" t="str">
        <f>VLOOKUP(Table1456734567893[[#This Row],[Item number]],[1]Sheet1!$A:$B,2,0)</f>
        <v>ENDMILL MC Ø4.0X11XØ6X50, Z=4 ALTiN</v>
      </c>
      <c r="C7" s="3">
        <v>350</v>
      </c>
      <c r="D7" s="5">
        <v>1</v>
      </c>
      <c r="E7" s="8" t="s">
        <v>9</v>
      </c>
      <c r="F7" s="9" t="s">
        <v>10</v>
      </c>
      <c r="G7" s="10">
        <v>10</v>
      </c>
    </row>
    <row r="8" spans="1:7" ht="15">
      <c r="A8" s="3">
        <v>1026140120</v>
      </c>
      <c r="B8" s="6" t="str">
        <f>VLOOKUP(Table1456734567893[[#This Row],[Item number]],[1]Sheet1!$A:$B,2,0)</f>
        <v>SPOTTING DRILL 120° MC Ø14X40X85 Z=2</v>
      </c>
      <c r="C8" s="3">
        <v>2000</v>
      </c>
      <c r="D8" s="5">
        <v>1</v>
      </c>
      <c r="E8" s="8" t="s">
        <v>9</v>
      </c>
      <c r="F8" s="9" t="s">
        <v>10</v>
      </c>
      <c r="G8" s="10">
        <v>10</v>
      </c>
    </row>
    <row r="9" spans="1:7" ht="15">
      <c r="A9" s="3">
        <v>1026160120</v>
      </c>
      <c r="B9" s="6" t="str">
        <f>VLOOKUP(Table1456734567893[[#This Row],[Item number]],[1]Sheet1!$A:$B,2,0)</f>
        <v>SPOTTING DRILL MC NC120° Ø16X46X92 Z=2</v>
      </c>
      <c r="C9" s="3">
        <v>1750</v>
      </c>
      <c r="D9" s="5">
        <v>1</v>
      </c>
      <c r="E9" s="8" t="s">
        <v>9</v>
      </c>
      <c r="F9" s="9" t="s">
        <v>10</v>
      </c>
      <c r="G9" s="10">
        <v>10</v>
      </c>
    </row>
    <row r="10" spans="1:7" ht="15">
      <c r="A10" s="3">
        <v>1026080140</v>
      </c>
      <c r="B10" s="7" t="str">
        <f>VLOOKUP(Table1456734567893[[#This Row],[Item number]],[1]Sheet1!$A:$B,2,0)</f>
        <v>SPOTTING DRILL MC Ø8X27X200 MM.</v>
      </c>
      <c r="C10" s="3">
        <v>2000</v>
      </c>
      <c r="D10" s="5">
        <v>1</v>
      </c>
      <c r="E10" s="8" t="s">
        <v>9</v>
      </c>
      <c r="F10" s="9" t="s">
        <v>10</v>
      </c>
      <c r="G10" s="10">
        <v>10</v>
      </c>
    </row>
    <row r="11" spans="1:7" ht="15">
      <c r="A11" s="3">
        <v>1042006207</v>
      </c>
      <c r="B11" s="7" t="str">
        <f>VLOOKUP(Table1456734567893[[#This Row],[Item number]],[1]Sheet1!$A:$B,2,0)</f>
        <v>ENDMILL CARBIDE Ø6X6X17X60, Z=3</v>
      </c>
      <c r="C11" s="3">
        <v>3000</v>
      </c>
      <c r="D11" s="5">
        <v>1</v>
      </c>
      <c r="E11" s="8" t="s">
        <v>9</v>
      </c>
      <c r="F11" s="9" t="s">
        <v>10</v>
      </c>
      <c r="G11" s="10">
        <v>10</v>
      </c>
    </row>
    <row r="12" spans="1:7" ht="15">
      <c r="A12" s="3">
        <v>1031060117</v>
      </c>
      <c r="B12" s="7" t="str">
        <f>VLOOKUP(Table1456734567893[[#This Row],[Item number]],[1]Sheet1!$A:$B,2,0)</f>
        <v>TAP M6-6HX HSSE (GG550NV-3)</v>
      </c>
      <c r="C12" s="3">
        <v>600</v>
      </c>
      <c r="D12" s="5">
        <v>1</v>
      </c>
      <c r="E12" s="8" t="s">
        <v>9</v>
      </c>
      <c r="F12" s="9" t="s">
        <v>10</v>
      </c>
      <c r="G12" s="10">
        <v>10</v>
      </c>
    </row>
    <row r="13" spans="1:7" ht="15">
      <c r="A13" s="3">
        <v>1028029126</v>
      </c>
      <c r="B13" s="7" t="str">
        <f>VLOOKUP(Table1456734567893[[#This Row],[Item number]],[1]Sheet1!$A:$B,2,0)</f>
        <v>STEP DRILL MC Ø2.9X15X28XØ4X65 TiALN</v>
      </c>
      <c r="C13" s="3">
        <v>800</v>
      </c>
      <c r="D13" s="5">
        <v>1</v>
      </c>
      <c r="E13" s="8" t="s">
        <v>9</v>
      </c>
      <c r="F13" s="9" t="s">
        <v>10</v>
      </c>
      <c r="G13" s="10">
        <v>10</v>
      </c>
    </row>
    <row r="14" spans="1:7" ht="15">
      <c r="A14" s="3">
        <v>1221030124</v>
      </c>
      <c r="B14" s="7" t="str">
        <f>VLOOKUP(Table1456734567893[[#This Row],[Item number]],[1]Sheet1!$A:$B,2,0)</f>
        <v>REAMER MC Ø3 H7X20XØ2.5X56 MM. Z=6</v>
      </c>
      <c r="C14" s="3">
        <v>1000</v>
      </c>
      <c r="D14" s="5">
        <v>1</v>
      </c>
      <c r="E14" s="8" t="s">
        <v>9</v>
      </c>
      <c r="F14" s="9" t="s">
        <v>10</v>
      </c>
      <c r="G14" s="10">
        <v>10</v>
      </c>
    </row>
    <row r="15" spans="1:7" ht="15">
      <c r="A15" s="3">
        <v>1028050123</v>
      </c>
      <c r="B15" s="7" t="str">
        <f>VLOOKUP(Table1456734567893[[#This Row],[Item number]],[1]Sheet1!$A:$B,2,0)</f>
        <v>STEP DRILL MC Ø5X18XØ8.5X100 MM.</v>
      </c>
      <c r="C15" s="3">
        <v>800</v>
      </c>
      <c r="D15" s="5">
        <v>1</v>
      </c>
      <c r="E15" s="8" t="s">
        <v>9</v>
      </c>
      <c r="F15" s="9" t="s">
        <v>10</v>
      </c>
      <c r="G15" s="10">
        <v>10</v>
      </c>
    </row>
    <row r="16" spans="1:7" ht="15">
      <c r="A16" s="3">
        <v>1042002216</v>
      </c>
      <c r="B16" s="7" t="str">
        <f>VLOOKUP(Table1456734567893[[#This Row],[Item number]],[1]Sheet1!$A:$B,2,0)</f>
        <v>BALLNOSE ENDMILL MC Ø2.9XR1.45X10X20Ø6X65 TIALN</v>
      </c>
      <c r="C16" s="3">
        <v>600</v>
      </c>
      <c r="D16" s="5">
        <v>1</v>
      </c>
      <c r="E16" s="8" t="s">
        <v>9</v>
      </c>
      <c r="F16" s="9" t="s">
        <v>10</v>
      </c>
      <c r="G16" s="10">
        <v>10</v>
      </c>
    </row>
    <row r="17" spans="1:7" ht="15">
      <c r="A17" s="3">
        <v>1042003207</v>
      </c>
      <c r="B17" s="7" t="str">
        <f>VLOOKUP(Table1456734567893[[#This Row],[Item number]],[1]Sheet1!$A:$B,2,0)</f>
        <v>ENDMILL MC Ø3X8XØ3X75 Z=4</v>
      </c>
      <c r="C17" s="3">
        <v>1500</v>
      </c>
      <c r="D17" s="5">
        <v>1</v>
      </c>
      <c r="E17" s="8" t="s">
        <v>9</v>
      </c>
      <c r="F17" s="9" t="s">
        <v>10</v>
      </c>
      <c r="G17" s="10">
        <v>10</v>
      </c>
    </row>
    <row r="18" spans="1:7" ht="15">
      <c r="A18" s="3">
        <v>1028037120</v>
      </c>
      <c r="B18" s="7" t="str">
        <f>VLOOKUP(Table1456734567893[[#This Row],[Item number]],[1]Sheet1!$A:$B,2,0)</f>
        <v>STEP DRILL MC Ø3.7X36XØ6X80 MM.</v>
      </c>
      <c r="C18" s="3">
        <v>600</v>
      </c>
      <c r="D18" s="5">
        <v>1</v>
      </c>
      <c r="E18" s="8" t="s">
        <v>9</v>
      </c>
      <c r="F18" s="9" t="s">
        <v>10</v>
      </c>
      <c r="G18" s="10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</vt:lpstr>
      <vt:lpstr>Socle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Cad Cam</cp:lastModifiedBy>
  <dcterms:created xsi:type="dcterms:W3CDTF">2024-12-26T07:41:30Z</dcterms:created>
  <dcterms:modified xsi:type="dcterms:W3CDTF">2025-02-17T04:00:57Z</dcterms:modified>
</cp:coreProperties>
</file>