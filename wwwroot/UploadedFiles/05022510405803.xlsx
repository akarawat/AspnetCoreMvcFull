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S:\Production\Tak Student\Milling\Part list for qr code\"/>
    </mc:Choice>
  </mc:AlternateContent>
  <xr:revisionPtr revIDLastSave="0" documentId="13_ncr:1_{73EB9993-A946-480F-8D92-95880C68193E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Plush  lever" sheetId="1" r:id="rId1"/>
    <sheet name="Lever" sheetId="3" r:id="rId2"/>
    <sheet name="Y-BELT TENSIONER" sheetId="5" r:id="rId3"/>
    <sheet name="Knife Support" sheetId="6" r:id="rId4"/>
    <sheet name="Feed dog fork 1052235.1.00" sheetId="7" r:id="rId5"/>
    <sheet name="Feed dog fork 031728.50.00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8" i="8"/>
  <c r="B9" i="8"/>
  <c r="B10" i="8"/>
  <c r="B11" i="8"/>
  <c r="B12" i="8"/>
  <c r="B13" i="8"/>
  <c r="B14" i="8"/>
  <c r="B15" i="8"/>
  <c r="B16" i="8"/>
  <c r="B17" i="8"/>
  <c r="B6" i="8"/>
  <c r="B6" i="3"/>
  <c r="B7" i="3"/>
  <c r="B8" i="3"/>
  <c r="B9" i="3"/>
  <c r="B10" i="3"/>
  <c r="B11" i="3"/>
  <c r="B6" i="6"/>
  <c r="B7" i="6"/>
  <c r="B8" i="6"/>
  <c r="B9" i="6"/>
  <c r="B10" i="6"/>
  <c r="B11" i="6"/>
  <c r="B12" i="6"/>
  <c r="B13" i="6"/>
  <c r="B14" i="6"/>
  <c r="B15" i="6"/>
  <c r="B16" i="6"/>
  <c r="B17" i="6"/>
  <c r="B6" i="7"/>
  <c r="B7" i="7"/>
  <c r="B8" i="7"/>
  <c r="B9" i="7"/>
  <c r="B10" i="7"/>
  <c r="B11" i="7"/>
  <c r="B12" i="7"/>
  <c r="B13" i="7"/>
  <c r="B14" i="7"/>
  <c r="B15" i="7"/>
  <c r="B16" i="7"/>
  <c r="B17" i="7"/>
</calcChain>
</file>

<file path=xl/sharedStrings.xml><?xml version="1.0" encoding="utf-8"?>
<sst xmlns="http://schemas.openxmlformats.org/spreadsheetml/2006/main" count="210" uniqueCount="37">
  <si>
    <t>Item number</t>
  </si>
  <si>
    <t>Name</t>
  </si>
  <si>
    <t>Operation</t>
  </si>
  <si>
    <t>Product name</t>
  </si>
  <si>
    <t>Tool life</t>
  </si>
  <si>
    <t>Qty.</t>
  </si>
  <si>
    <t>Plush  lever</t>
  </si>
  <si>
    <t>031285.53.0B.00</t>
  </si>
  <si>
    <t>0340885.0O.00</t>
  </si>
  <si>
    <t>Lever</t>
  </si>
  <si>
    <t>0324715.0.00</t>
  </si>
  <si>
    <t>Y-BELT TENSIONER</t>
  </si>
  <si>
    <t>Knife Support</t>
  </si>
  <si>
    <t>036185.51.0C.00</t>
  </si>
  <si>
    <t>1052235.1.00</t>
  </si>
  <si>
    <t>Feed dog fork</t>
  </si>
  <si>
    <t>DRILL MC Ø3.3X27X30XØ4X66 MM.</t>
  </si>
  <si>
    <t>TAP M4-6H HSS-E DIN371</t>
  </si>
  <si>
    <t>DRILL MC Ø3.8X25X40XØ4X90, Z=2</t>
  </si>
  <si>
    <t>REAMER MC Ø5 H7X23XØ5X86 Z=6</t>
  </si>
  <si>
    <t>DRILL MC Ø4.8X62, Z=3HM</t>
  </si>
  <si>
    <t>REAMER MC Ø4.99 (0/+0.004)X23X60X86 Z=6</t>
  </si>
  <si>
    <t>ENDMILL MC Ø4X11X75 MM.</t>
  </si>
  <si>
    <t>DRILL MC Ø4.8X62, Z=2</t>
  </si>
  <si>
    <t>REAMER MC Ø4.005X75 Z=6</t>
  </si>
  <si>
    <t>REAMER HSS Ø1.98X11X24XØ2X49, Z=4</t>
  </si>
  <si>
    <t>ENDMILL CARBIDE Ø6X6X17X60, Z=3</t>
  </si>
  <si>
    <t>SPOTTING DRILL 90° MC Ø3X9X38,Z=2HM</t>
  </si>
  <si>
    <t>CENTERDRILL MC 90° Ø4X10X50,Z=2HM</t>
  </si>
  <si>
    <t>DRILL MC Ø1.8X48</t>
  </si>
  <si>
    <t>TWIST DRILL MC Ø4.2X24XØ6X36X66 TiAlN-TiN</t>
  </si>
  <si>
    <t>CHAMFERING ENDMILL Ø5X2.3X15XØ6X40X100 MM.</t>
  </si>
  <si>
    <t>REAMER MC Ø5.01 (0/+0.004)X21X44XØ6X36X80 Z=6</t>
  </si>
  <si>
    <t>SPOTTING DRILL 90° MC Ø6X13X57,Z=2HM</t>
  </si>
  <si>
    <t>031728.50.00</t>
  </si>
  <si>
    <t>Item Number2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</si>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</sst>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5" fillId="2" borderId="0" xfId="1" applyNumberFormat="1" applyFont="1" applyFill="1" applyAlignment="1">
      <alignment horizontal="left" vertical="top"/>
    </xf>
    <xf numFmtId="1" fontId="6" fillId="2" borderId="1" xfId="1" applyNumberFormat="1" applyFont="1" applyFill="1" applyBorder="1" applyAlignment="1">
      <alignment horizontal="left" vertical="center"/>
    </xf>
    <xf numFmtId="1" fontId="1" fillId="0" borderId="0" xfId="0" applyNumberFormat="1" applyFont="1"/>
    <xf numFmtId="1" fontId="6" fillId="2" borderId="0" xfId="1" applyNumberFormat="1" applyFont="1" applyFill="1" applyAlignment="1">
      <alignment horizontal="left" vertical="center"/>
    </xf>
    <xf numFmtId="1" fontId="0" fillId="0" borderId="1" xfId="0" applyNumberFormat="1" applyBorder="1" applyAlignment="1">
      <alignment vertical="center"/>
    </xf>
    <xf numFmtId="1" fontId="6" fillId="2" borderId="0" xfId="1" applyNumberFormat="1" applyFont="1" applyFill="1" applyAlignment="1">
      <alignment vertical="center"/>
    </xf>
    <xf numFmtId="1" fontId="0" fillId="0" borderId="0" xfId="0" applyNumberFormat="1" applyAlignment="1">
      <alignment vertical="center"/>
    </xf>
    <xf numFmtId="1" fontId="0" fillId="0" borderId="1" xfId="0" applyNumberFormat="1" applyBorder="1"/>
    <xf numFmtId="1" fontId="5" fillId="2" borderId="0" xfId="1" applyNumberFormat="1" applyFont="1" applyFill="1" applyAlignment="1">
      <alignment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5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left"/>
    </xf>
    <xf numFmtId="1" fontId="5" fillId="2" borderId="0" xfId="1" applyNumberFormat="1" applyFont="1" applyFill="1" applyAlignment="1">
      <alignment horizontal="left" vertical="center"/>
    </xf>
    <xf numFmtId="1" fontId="0" fillId="0" borderId="0" xfId="0" applyNumberFormat="1" applyAlignment="1">
      <alignment horizontal="left"/>
    </xf>
    <xf numFmtId="1" fontId="5" fillId="2" borderId="2" xfId="1" applyNumberFormat="1" applyFont="1" applyFill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49"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numFmt numFmtId="1" formatCode="0"/>
      <alignment horizontal="left" vertical="top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numFmt numFmtId="1" formatCode="0"/>
      <alignment horizontal="left" vertical="top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 Narrow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general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center" textRotation="0" wrapText="0" indent="0" justifyLastLine="0" shrinkToFit="0" readingOrder="0"/>
      <border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scheme val="minor"/>
      </font>
      <numFmt numFmtId="1" formatCode="0"/>
      <alignment horizontal="general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numFmt numFmtId="1" formatCode="0"/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scheme val="minor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" formatCode="0"/>
    </dxf>
    <dxf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1592660</xdr:colOff>
      <xdr:row>17</xdr:row>
      <xdr:rowOff>186109</xdr:rowOff>
    </xdr:from>
    <xdr:to>
      <xdr:col>2</xdr:col>
      <xdr:colOff>584123</xdr:colOff>
      <xdr:row>36</xdr:row>
      <xdr:rowOff>193050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46F2E-48E3-0E6D-5C6C-F34CAEFD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742" y="3539298"/>
          <a:ext cx="3374907" cy="3700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13</xdr:row>
      <xdr:rowOff>19050</xdr:rowOff>
    </xdr:from>
    <xdr:to>
      <xdr:col>2</xdr:col>
      <xdr:colOff>67087</xdr:colOff>
      <xdr:row>29</xdr:row>
      <xdr:rowOff>105212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859374-9F84-6BD4-F5A0-E7BCAEC15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124200"/>
          <a:ext cx="2953162" cy="3134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14</xdr:row>
      <xdr:rowOff>95250</xdr:rowOff>
    </xdr:from>
    <xdr:to>
      <xdr:col>1</xdr:col>
      <xdr:colOff>3619912</xdr:colOff>
      <xdr:row>30</xdr:row>
      <xdr:rowOff>181412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6EB2BD-61DA-BC00-110C-5576AFAA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2819400"/>
          <a:ext cx="2953162" cy="31341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773907</xdr:colOff>
      <xdr:row>18</xdr:row>
      <xdr:rowOff>148828</xdr:rowOff>
    </xdr:from>
    <xdr:to>
      <xdr:col>1</xdr:col>
      <xdr:colOff>3727069</xdr:colOff>
      <xdr:row>35</xdr:row>
      <xdr:rowOff>78225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5FA5D-C1C4-94C6-02C2-C2D202FC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3" y="3601641"/>
          <a:ext cx="2953162" cy="31341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18</xdr:row>
      <xdr:rowOff>0</xdr:rowOff>
    </xdr:from>
    <xdr:to>
      <xdr:col>1</xdr:col>
      <xdr:colOff>3696112</xdr:colOff>
      <xdr:row>34</xdr:row>
      <xdr:rowOff>86162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6F146-27A6-4BBC-B94A-82BBED2DC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3486150"/>
          <a:ext cx="2953162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17</xdr:row>
      <xdr:rowOff>133350</xdr:rowOff>
    </xdr:from>
    <xdr:to>
      <xdr:col>1</xdr:col>
      <xdr:colOff>3724687</xdr:colOff>
      <xdr:row>34</xdr:row>
      <xdr:rowOff>29012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F077CD-5C2F-937E-0170-8A07556F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429000"/>
          <a:ext cx="2953162" cy="3134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G16" totalsRowShown="0" headerRowDxfId="48">
  <autoFilter ref="A5:G16" xr:uid="{00000000-0009-0000-0100-000001000000}"/>
  <sortState xmlns:xlrd2="http://schemas.microsoft.com/office/spreadsheetml/2017/richdata2" ref="A6:D13">
    <sortCondition ref="A5:A13"/>
  </sortState>
  <tableColumns count="7">
    <tableColumn id="1" xr3:uid="{00000000-0010-0000-0000-000001000000}" name="Item number" dataDxfId="47"/>
    <tableColumn id="2" xr3:uid="{00000000-0010-0000-0000-000002000000}" name="Product name" dataDxfId="46"/>
    <tableColumn id="3" xr3:uid="{00000000-0010-0000-0000-000003000000}" name="Tool life" dataDxfId="45"/>
    <tableColumn id="4" xr3:uid="{00000000-0010-0000-0000-000004000000}" name="Qty." dataDxfId="44"/>
    <tableColumn id="5" xr3:uid="{412DB511-3F44-4727-9653-52713590F49C}" name="Item Number2" dataDxfId="43"/>
    <tableColumn id="6" xr3:uid="{23851C9D-28AA-4A18-A5FA-E339149C0BC5}" name="Item Name"/>
    <tableColumn id="7" xr3:uid="{47B3AF77-9FC7-4E85-964F-FF462F6E4CF6}" name="Operation" dataDxfId="4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5:G11" totalsRowShown="0" headerRowDxfId="41">
  <autoFilter ref="A5:G11" xr:uid="{00000000-0009-0000-0100-000003000000}"/>
  <sortState xmlns:xlrd2="http://schemas.microsoft.com/office/spreadsheetml/2017/richdata2" ref="A6:D11">
    <sortCondition ref="A5:A11"/>
  </sortState>
  <tableColumns count="7">
    <tableColumn id="1" xr3:uid="{00000000-0010-0000-0100-000001000000}" name="Item number" dataDxfId="40"/>
    <tableColumn id="2" xr3:uid="{00000000-0010-0000-0100-000002000000}" name="Product name" dataDxfId="39">
      <calculatedColumnFormula>VLOOKUP(Table14[[#This Row],[Item number]],[1]Sheet1!$A:$B,2,0)</calculatedColumnFormula>
    </tableColumn>
    <tableColumn id="3" xr3:uid="{00000000-0010-0000-0100-000003000000}" name="Tool life"/>
    <tableColumn id="4" xr3:uid="{00000000-0010-0000-0100-000004000000}" name="Qty."/>
    <tableColumn id="5" xr3:uid="{9B3AD8DE-35D0-4351-8354-7267E3D56766}" name="Item Number2" dataDxfId="38"/>
    <tableColumn id="6" xr3:uid="{4B192924-63BC-4077-A347-63F26C93B08F}" name="Item Name" dataDxfId="37"/>
    <tableColumn id="7" xr3:uid="{4D65E4CB-BCF8-465F-A22D-67E72B779017}" name="Operation" dataDxfId="3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145" displayName="Table145" ref="A5:G12" totalsRowShown="0" headerRowDxfId="35" dataDxfId="34">
  <autoFilter ref="A5:G12" xr:uid="{00000000-0009-0000-0100-000004000000}"/>
  <sortState xmlns:xlrd2="http://schemas.microsoft.com/office/spreadsheetml/2017/richdata2" ref="A6:D11">
    <sortCondition ref="A5:A11"/>
  </sortState>
  <tableColumns count="7">
    <tableColumn id="1" xr3:uid="{00000000-0010-0000-0200-000001000000}" name="Item number" dataDxfId="33"/>
    <tableColumn id="2" xr3:uid="{00000000-0010-0000-0200-000002000000}" name="Product name" dataDxfId="32"/>
    <tableColumn id="3" xr3:uid="{00000000-0010-0000-0200-000003000000}" name="Tool life" dataDxfId="31" dataCellStyle="Normal 2"/>
    <tableColumn id="4" xr3:uid="{00000000-0010-0000-0200-000004000000}" name="Qty." dataDxfId="30"/>
    <tableColumn id="5" xr3:uid="{4AEBBF40-A413-4964-8D69-EC60288CC0F5}" name="Item Number2" dataDxfId="29"/>
    <tableColumn id="6" xr3:uid="{FD24FE76-CF08-4E40-A30B-BEE5944A8B42}" name="Item Name" dataDxfId="28"/>
    <tableColumn id="7" xr3:uid="{0D863A43-FE22-4CF7-B561-C628A0D0B481}" name="Operation" dataDxfId="27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456" displayName="Table1456" ref="A5:G17" totalsRowShown="0" headerRowDxfId="26" dataDxfId="25">
  <autoFilter ref="A5:G17" xr:uid="{00000000-0009-0000-0100-000005000000}"/>
  <sortState xmlns:xlrd2="http://schemas.microsoft.com/office/spreadsheetml/2017/richdata2" ref="A6:D9">
    <sortCondition ref="A5:A9"/>
  </sortState>
  <tableColumns count="7">
    <tableColumn id="1" xr3:uid="{00000000-0010-0000-0300-000001000000}" name="Item number" dataDxfId="24"/>
    <tableColumn id="2" xr3:uid="{00000000-0010-0000-0300-000002000000}" name="Product name" dataDxfId="23">
      <calculatedColumnFormula>VLOOKUP(Table1456[[#This Row],[Item number]],[1]Sheet1!$A:$B,2,0)</calculatedColumnFormula>
    </tableColumn>
    <tableColumn id="3" xr3:uid="{00000000-0010-0000-0300-000003000000}" name="Tool life" dataDxfId="22" dataCellStyle="Normal 2"/>
    <tableColumn id="4" xr3:uid="{00000000-0010-0000-0300-000004000000}" name="Qty." dataDxfId="21"/>
    <tableColumn id="5" xr3:uid="{1FB90C81-247F-4BC6-B94F-AE0491A6225A}" name="Item Number2" dataDxfId="20"/>
    <tableColumn id="6" xr3:uid="{630DC324-BAAB-41EA-AB82-5BA2F42C4DBA}" name="Item Name" dataDxfId="19"/>
    <tableColumn id="7" xr3:uid="{AE94F6B3-0A68-4A4F-9DB6-95A67D070A30}" name="Operation" dataDxfId="1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4567" displayName="Table14567" ref="A5:G17" totalsRowShown="0" headerRowDxfId="17" dataDxfId="16">
  <autoFilter ref="A5:G17" xr:uid="{00000000-0009-0000-0100-000006000000}"/>
  <sortState xmlns:xlrd2="http://schemas.microsoft.com/office/spreadsheetml/2017/richdata2" ref="A6:D9">
    <sortCondition ref="A5:A9"/>
  </sortState>
  <tableColumns count="7">
    <tableColumn id="1" xr3:uid="{00000000-0010-0000-0400-000001000000}" name="Item number" dataDxfId="15" dataCellStyle="Normal 2"/>
    <tableColumn id="2" xr3:uid="{00000000-0010-0000-0400-000002000000}" name="Product name" dataDxfId="14">
      <calculatedColumnFormula>VLOOKUP(Table14567[[#This Row],[Item number]],[1]Sheet1!$A:$B,2,0)</calculatedColumnFormula>
    </tableColumn>
    <tableColumn id="3" xr3:uid="{00000000-0010-0000-0400-000003000000}" name="Tool life" dataDxfId="13" dataCellStyle="Normal 2"/>
    <tableColumn id="4" xr3:uid="{00000000-0010-0000-0400-000004000000}" name="Qty." dataDxfId="12"/>
    <tableColumn id="5" xr3:uid="{B519F2C6-D4A6-4676-83EB-A41E4D128EED}" name="Item Number2" dataDxfId="11"/>
    <tableColumn id="6" xr3:uid="{626A4593-E9BA-4CB0-AE5A-3070100E8B07}" name="Item Name" dataDxfId="10"/>
    <tableColumn id="7" xr3:uid="{9ADE51B4-04F1-48A9-823D-ACA124321C7C}" name="Operation" dataDxfId="9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BABB17-ED24-4827-9387-402E1478155D}" name="Table145673" displayName="Table145673" ref="A5:G17" totalsRowShown="0" headerRowDxfId="8" dataDxfId="7">
  <autoFilter ref="A5:G17" xr:uid="{00000000-0009-0000-0100-000006000000}"/>
  <sortState xmlns:xlrd2="http://schemas.microsoft.com/office/spreadsheetml/2017/richdata2" ref="A6:D9">
    <sortCondition ref="A5:A9"/>
  </sortState>
  <tableColumns count="7">
    <tableColumn id="1" xr3:uid="{E724C3BD-A56F-4DE6-936B-46C0EE441E22}" name="Item number" dataDxfId="6" dataCellStyle="Normal 2"/>
    <tableColumn id="2" xr3:uid="{5B390DE5-449D-4309-BD79-435AD5C908CD}" name="Product name" dataDxfId="5">
      <calculatedColumnFormula>VLOOKUP(Table145673[[#This Row],[Item number]],[1]Sheet1!$A:$B,2,0)</calculatedColumnFormula>
    </tableColumn>
    <tableColumn id="3" xr3:uid="{E0FB9157-BB44-46D8-B0B5-616EB50B0EAB}" name="Tool life" dataDxfId="4" dataCellStyle="Normal 2"/>
    <tableColumn id="4" xr3:uid="{56F6900E-98E8-4558-BD7A-659D45A91856}" name="Qty." dataDxfId="3"/>
    <tableColumn id="5" xr3:uid="{270B50C1-8134-4230-A381-A7F77274ACEB}" name="Item Number2" dataDxfId="2"/>
    <tableColumn id="6" xr3:uid="{5370A75C-9ACB-403E-937A-6CEDE0909553}" name="Item Name" dataDxfId="1"/>
    <tableColumn id="7" xr3:uid="{76CE437F-67F9-43F3-B27E-7B13624558FF}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98" zoomScaleNormal="98" workbookViewId="0">
      <selection activeCell="E22" sqref="E2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17.7109375" style="19" customWidth="1"/>
    <col min="6" max="7" width="15.7109375" customWidth="1"/>
    <col min="8" max="9" width="11" customWidth="1"/>
  </cols>
  <sheetData>
    <row r="1" spans="1:7" x14ac:dyDescent="0.25">
      <c r="A1" t="s">
        <v>0</v>
      </c>
      <c r="B1" t="s">
        <v>7</v>
      </c>
    </row>
    <row r="2" spans="1:7" x14ac:dyDescent="0.25">
      <c r="A2" t="s">
        <v>1</v>
      </c>
      <c r="B2" t="s">
        <v>6</v>
      </c>
    </row>
    <row r="3" spans="1:7" x14ac:dyDescent="0.25">
      <c r="A3" t="s">
        <v>2</v>
      </c>
      <c r="B3" s="2">
        <v>10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1" t="s">
        <v>36</v>
      </c>
      <c r="G5" s="1" t="s">
        <v>2</v>
      </c>
    </row>
    <row r="6" spans="1:7" x14ac:dyDescent="0.25">
      <c r="A6" s="16">
        <v>1221049122</v>
      </c>
      <c r="B6" s="8" t="s">
        <v>21</v>
      </c>
      <c r="C6" s="19">
        <v>5000</v>
      </c>
      <c r="D6" s="19">
        <v>1</v>
      </c>
      <c r="E6" s="19" t="s">
        <v>7</v>
      </c>
      <c r="F6" s="19" t="s">
        <v>6</v>
      </c>
      <c r="G6" s="19">
        <v>10</v>
      </c>
    </row>
    <row r="7" spans="1:7" x14ac:dyDescent="0.25">
      <c r="A7" s="17">
        <v>1042004209</v>
      </c>
      <c r="B7" s="9" t="s">
        <v>22</v>
      </c>
      <c r="C7" s="19">
        <v>5000</v>
      </c>
      <c r="D7" s="19">
        <v>1</v>
      </c>
      <c r="E7" s="19" t="s">
        <v>7</v>
      </c>
      <c r="F7" s="19" t="s">
        <v>6</v>
      </c>
      <c r="G7" s="19">
        <v>10</v>
      </c>
    </row>
    <row r="8" spans="1:7" x14ac:dyDescent="0.25">
      <c r="A8" s="17">
        <v>1021048120</v>
      </c>
      <c r="B8" s="9" t="s">
        <v>23</v>
      </c>
      <c r="C8" s="19">
        <v>5000</v>
      </c>
      <c r="D8" s="19">
        <v>1</v>
      </c>
      <c r="E8" s="19" t="s">
        <v>7</v>
      </c>
      <c r="F8" s="19" t="s">
        <v>6</v>
      </c>
      <c r="G8" s="19">
        <v>10</v>
      </c>
    </row>
    <row r="9" spans="1:7" x14ac:dyDescent="0.25">
      <c r="A9" s="17">
        <v>1221050123</v>
      </c>
      <c r="B9" s="9" t="s">
        <v>19</v>
      </c>
      <c r="C9" s="19">
        <v>2000</v>
      </c>
      <c r="D9" s="19">
        <v>1</v>
      </c>
      <c r="E9" s="19" t="s">
        <v>7</v>
      </c>
      <c r="F9" s="19" t="s">
        <v>6</v>
      </c>
      <c r="G9" s="19">
        <v>10</v>
      </c>
    </row>
    <row r="10" spans="1:7" x14ac:dyDescent="0.25">
      <c r="A10" s="17">
        <v>1221040120</v>
      </c>
      <c r="B10" s="9" t="s">
        <v>24</v>
      </c>
      <c r="C10" s="19">
        <v>2000</v>
      </c>
      <c r="D10" s="19">
        <v>1</v>
      </c>
      <c r="E10" s="19" t="s">
        <v>7</v>
      </c>
      <c r="F10" s="19" t="s">
        <v>6</v>
      </c>
      <c r="G10" s="19">
        <v>10</v>
      </c>
    </row>
    <row r="11" spans="1:7" x14ac:dyDescent="0.25">
      <c r="A11" s="17">
        <v>1221019151</v>
      </c>
      <c r="B11" s="9" t="s">
        <v>25</v>
      </c>
      <c r="C11" s="19">
        <v>5000</v>
      </c>
      <c r="D11" s="19">
        <v>1</v>
      </c>
      <c r="E11" s="19" t="s">
        <v>7</v>
      </c>
      <c r="F11" s="19" t="s">
        <v>6</v>
      </c>
      <c r="G11" s="19">
        <v>10</v>
      </c>
    </row>
    <row r="12" spans="1:7" x14ac:dyDescent="0.25">
      <c r="A12" s="17">
        <v>1042006207</v>
      </c>
      <c r="B12" s="9" t="s">
        <v>26</v>
      </c>
      <c r="C12" s="19">
        <v>4000</v>
      </c>
      <c r="D12" s="19">
        <v>1</v>
      </c>
      <c r="E12" s="19" t="s">
        <v>7</v>
      </c>
      <c r="F12" s="19" t="s">
        <v>6</v>
      </c>
      <c r="G12" s="19">
        <v>10</v>
      </c>
    </row>
    <row r="13" spans="1:7" x14ac:dyDescent="0.25">
      <c r="A13" s="18">
        <v>1021038122</v>
      </c>
      <c r="B13" s="10" t="s">
        <v>18</v>
      </c>
      <c r="C13" s="19">
        <v>4000</v>
      </c>
      <c r="D13" s="19">
        <v>1</v>
      </c>
      <c r="E13" s="19" t="s">
        <v>7</v>
      </c>
      <c r="F13" s="19" t="s">
        <v>6</v>
      </c>
      <c r="G13" s="19">
        <v>10</v>
      </c>
    </row>
    <row r="14" spans="1:7" x14ac:dyDescent="0.25">
      <c r="A14" s="17">
        <v>1026030120</v>
      </c>
      <c r="B14" s="9" t="s">
        <v>27</v>
      </c>
      <c r="C14" s="19">
        <v>5000</v>
      </c>
      <c r="D14" s="19">
        <v>1</v>
      </c>
      <c r="E14" s="19" t="s">
        <v>7</v>
      </c>
      <c r="F14" s="19" t="s">
        <v>6</v>
      </c>
      <c r="G14" s="19">
        <v>10</v>
      </c>
    </row>
    <row r="15" spans="1:7" x14ac:dyDescent="0.25">
      <c r="A15" s="17">
        <v>1025040121</v>
      </c>
      <c r="B15" s="9" t="s">
        <v>28</v>
      </c>
      <c r="C15" s="19">
        <v>5000</v>
      </c>
      <c r="D15" s="19">
        <v>1</v>
      </c>
      <c r="E15" s="19" t="s">
        <v>7</v>
      </c>
      <c r="F15" s="19" t="s">
        <v>6</v>
      </c>
      <c r="G15" s="19">
        <v>10</v>
      </c>
    </row>
    <row r="16" spans="1:7" x14ac:dyDescent="0.25">
      <c r="A16" s="17">
        <v>1029018120</v>
      </c>
      <c r="B16" s="9" t="s">
        <v>29</v>
      </c>
      <c r="C16" s="19">
        <v>4000</v>
      </c>
      <c r="D16" s="19">
        <v>1</v>
      </c>
      <c r="E16" s="19" t="s">
        <v>7</v>
      </c>
      <c r="F16" s="19" t="s">
        <v>6</v>
      </c>
      <c r="G16" s="19">
        <v>10</v>
      </c>
    </row>
  </sheetData>
  <phoneticPr fontId="8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1" sqref="G1:G1048576"/>
    </sheetView>
  </sheetViews>
  <sheetFormatPr defaultRowHeight="15" x14ac:dyDescent="0.25"/>
  <cols>
    <col min="1" max="1" width="18.7109375" customWidth="1"/>
    <col min="2" max="2" width="42.14062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8</v>
      </c>
    </row>
    <row r="2" spans="1:7" x14ac:dyDescent="0.25">
      <c r="A2" t="s">
        <v>1</v>
      </c>
      <c r="B2" t="s">
        <v>9</v>
      </c>
    </row>
    <row r="3" spans="1:7" x14ac:dyDescent="0.25">
      <c r="A3" t="s">
        <v>2</v>
      </c>
      <c r="B3" s="2">
        <v>10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31" t="s">
        <v>36</v>
      </c>
      <c r="G5" s="31" t="s">
        <v>2</v>
      </c>
    </row>
    <row r="6" spans="1:7" x14ac:dyDescent="0.25">
      <c r="A6" s="20">
        <v>1026050121</v>
      </c>
      <c r="B6" s="11" t="str">
        <f>VLOOKUP(Table14[[#This Row],[Item number]],[1]Sheet1!$A:$B,2,0)</f>
        <v>SPOTTING DRILL 90° MC Ø5X13X50,Z=2</v>
      </c>
      <c r="C6" s="21">
        <v>3000</v>
      </c>
      <c r="D6" s="21">
        <v>1</v>
      </c>
      <c r="E6" s="19" t="s">
        <v>8</v>
      </c>
      <c r="F6" s="19" t="s">
        <v>9</v>
      </c>
      <c r="G6" s="19">
        <v>10</v>
      </c>
    </row>
    <row r="7" spans="1:7" x14ac:dyDescent="0.25">
      <c r="A7" s="20">
        <v>1042006404</v>
      </c>
      <c r="B7" s="12" t="str">
        <f>VLOOKUP(Table14[[#This Row],[Item number]],[1]Sheet1!$A:$B,2,0)</f>
        <v>ENDMILL MC Ø6X16X50 Z=6 ALTIN</v>
      </c>
      <c r="C7" s="21">
        <v>450</v>
      </c>
      <c r="D7" s="21">
        <v>1</v>
      </c>
      <c r="E7" s="19" t="s">
        <v>8</v>
      </c>
      <c r="F7" s="19" t="s">
        <v>9</v>
      </c>
      <c r="G7" s="19">
        <v>10</v>
      </c>
    </row>
    <row r="8" spans="1:7" x14ac:dyDescent="0.25">
      <c r="A8" s="20">
        <v>1024033120</v>
      </c>
      <c r="B8" s="13" t="str">
        <f>VLOOKUP(Table14[[#This Row],[Item number]],[1]Sheet1!$A:$B,2,0)</f>
        <v>DRILL MC Ø3.3X27X30XØ4X66 MM.</v>
      </c>
      <c r="C8" s="21">
        <v>550</v>
      </c>
      <c r="D8" s="21">
        <v>1</v>
      </c>
      <c r="E8" s="19" t="s">
        <v>8</v>
      </c>
      <c r="F8" s="19" t="s">
        <v>9</v>
      </c>
      <c r="G8" s="19">
        <v>10</v>
      </c>
    </row>
    <row r="9" spans="1:7" x14ac:dyDescent="0.25">
      <c r="A9" s="20">
        <v>1031040120</v>
      </c>
      <c r="B9" s="13" t="str">
        <f>VLOOKUP(Table14[[#This Row],[Item number]],[1]Sheet1!$A:$B,2,0)</f>
        <v>TAP M4-6H HSS-E DIN371</v>
      </c>
      <c r="C9" s="21">
        <v>550</v>
      </c>
      <c r="D9" s="21">
        <v>1</v>
      </c>
      <c r="E9" s="19" t="s">
        <v>8</v>
      </c>
      <c r="F9" s="19" t="s">
        <v>9</v>
      </c>
      <c r="G9" s="19">
        <v>10</v>
      </c>
    </row>
    <row r="10" spans="1:7" x14ac:dyDescent="0.25">
      <c r="A10" s="20">
        <v>1042010401</v>
      </c>
      <c r="B10" s="13" t="str">
        <f>VLOOKUP(Table14[[#This Row],[Item number]],[1]Sheet1!$A:$B,2,0)</f>
        <v>ENDMILL MC Ø10X6.5X22X72X40° Z4 TiALN</v>
      </c>
      <c r="C10" s="21">
        <v>900</v>
      </c>
      <c r="D10" s="21">
        <v>1</v>
      </c>
      <c r="E10" s="19" t="s">
        <v>8</v>
      </c>
      <c r="F10" s="19" t="s">
        <v>9</v>
      </c>
      <c r="G10" s="19">
        <v>10</v>
      </c>
    </row>
    <row r="11" spans="1:7" x14ac:dyDescent="0.25">
      <c r="A11" s="20">
        <v>1042010401</v>
      </c>
      <c r="B11" s="13" t="str">
        <f>VLOOKUP(Table14[[#This Row],[Item number]],[1]Sheet1!$A:$B,2,0)</f>
        <v>ENDMILL MC Ø10X6.5X22X72X40° Z4 TiALN</v>
      </c>
      <c r="C11" s="21">
        <v>900</v>
      </c>
      <c r="D11" s="21">
        <v>1</v>
      </c>
      <c r="E11" s="19" t="s">
        <v>8</v>
      </c>
      <c r="F11" s="19" t="s">
        <v>9</v>
      </c>
      <c r="G11" s="19">
        <v>10</v>
      </c>
    </row>
  </sheetData>
  <phoneticPr fontId="8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activeCell="G1" sqref="G1:G1048576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10</v>
      </c>
    </row>
    <row r="2" spans="1:7" x14ac:dyDescent="0.25">
      <c r="A2" t="s">
        <v>1</v>
      </c>
      <c r="B2" t="s">
        <v>11</v>
      </c>
    </row>
    <row r="3" spans="1:7" x14ac:dyDescent="0.25">
      <c r="A3" t="s">
        <v>2</v>
      </c>
      <c r="B3" s="2">
        <v>40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1" t="s">
        <v>36</v>
      </c>
      <c r="G5" s="1" t="s">
        <v>2</v>
      </c>
    </row>
    <row r="6" spans="1:7" x14ac:dyDescent="0.25">
      <c r="A6" s="20">
        <v>1023048120</v>
      </c>
      <c r="B6" s="14" t="s">
        <v>20</v>
      </c>
      <c r="C6" s="22">
        <v>6000</v>
      </c>
      <c r="D6" s="19">
        <v>1</v>
      </c>
      <c r="E6" s="19" t="s">
        <v>10</v>
      </c>
      <c r="F6" t="s">
        <v>11</v>
      </c>
      <c r="G6" s="19">
        <v>10</v>
      </c>
    </row>
    <row r="7" spans="1:7" x14ac:dyDescent="0.25">
      <c r="A7" s="20">
        <v>1021042160</v>
      </c>
      <c r="B7" s="15" t="s">
        <v>30</v>
      </c>
      <c r="C7" s="22">
        <v>7000</v>
      </c>
      <c r="D7" s="19">
        <v>1</v>
      </c>
      <c r="E7" s="19" t="s">
        <v>10</v>
      </c>
      <c r="F7" t="s">
        <v>11</v>
      </c>
      <c r="G7" s="19">
        <v>10</v>
      </c>
    </row>
    <row r="8" spans="1:7" x14ac:dyDescent="0.25">
      <c r="A8" s="20">
        <v>1042005206</v>
      </c>
      <c r="B8" s="3" t="s">
        <v>31</v>
      </c>
      <c r="C8" s="22">
        <v>8000</v>
      </c>
      <c r="D8" s="19">
        <v>1</v>
      </c>
      <c r="E8" s="19" t="s">
        <v>10</v>
      </c>
      <c r="F8" t="s">
        <v>11</v>
      </c>
      <c r="G8" s="19">
        <v>10</v>
      </c>
    </row>
    <row r="9" spans="1:7" x14ac:dyDescent="0.25">
      <c r="A9" s="20">
        <v>1031040120</v>
      </c>
      <c r="B9" s="3" t="s">
        <v>17</v>
      </c>
      <c r="C9" s="22">
        <v>3000</v>
      </c>
      <c r="D9" s="19">
        <v>1</v>
      </c>
      <c r="E9" s="19" t="s">
        <v>10</v>
      </c>
      <c r="F9" t="s">
        <v>11</v>
      </c>
      <c r="G9" s="19">
        <v>10</v>
      </c>
    </row>
    <row r="10" spans="1:7" x14ac:dyDescent="0.25">
      <c r="A10" s="17">
        <v>1221050125</v>
      </c>
      <c r="B10" s="3" t="s">
        <v>32</v>
      </c>
      <c r="C10" s="22">
        <v>6000</v>
      </c>
      <c r="D10" s="19">
        <v>1</v>
      </c>
      <c r="E10" s="19" t="s">
        <v>10</v>
      </c>
      <c r="F10" t="s">
        <v>11</v>
      </c>
      <c r="G10" s="19">
        <v>10</v>
      </c>
    </row>
    <row r="11" spans="1:7" x14ac:dyDescent="0.25">
      <c r="A11" s="17">
        <v>1024033120</v>
      </c>
      <c r="B11" s="3" t="s">
        <v>16</v>
      </c>
      <c r="C11" s="22">
        <v>3000</v>
      </c>
      <c r="D11" s="19">
        <v>1</v>
      </c>
      <c r="E11" s="19" t="s">
        <v>10</v>
      </c>
      <c r="F11" t="s">
        <v>11</v>
      </c>
      <c r="G11" s="19">
        <v>10</v>
      </c>
    </row>
    <row r="12" spans="1:7" x14ac:dyDescent="0.25">
      <c r="A12" s="17">
        <v>1026060120</v>
      </c>
      <c r="B12" s="3" t="s">
        <v>33</v>
      </c>
      <c r="C12" s="22">
        <v>8000</v>
      </c>
      <c r="D12" s="19">
        <v>1</v>
      </c>
      <c r="E12" s="19" t="s">
        <v>10</v>
      </c>
      <c r="F12" t="s">
        <v>11</v>
      </c>
      <c r="G12" s="19">
        <v>10</v>
      </c>
    </row>
  </sheetData>
  <phoneticPr fontId="8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="96" zoomScaleNormal="96" workbookViewId="0">
      <selection activeCell="G1" sqref="G1:G1048576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13</v>
      </c>
    </row>
    <row r="2" spans="1:7" x14ac:dyDescent="0.25">
      <c r="A2" t="s">
        <v>1</v>
      </c>
      <c r="B2" t="s">
        <v>12</v>
      </c>
    </row>
    <row r="3" spans="1:7" x14ac:dyDescent="0.25">
      <c r="A3" t="s">
        <v>2</v>
      </c>
      <c r="B3" s="2">
        <v>20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1" t="s">
        <v>36</v>
      </c>
      <c r="G5" s="1" t="s">
        <v>2</v>
      </c>
    </row>
    <row r="6" spans="1:7" x14ac:dyDescent="0.25">
      <c r="A6" s="23">
        <v>1026060120</v>
      </c>
      <c r="B6" s="26" t="str">
        <f>VLOOKUP(Table1456[[#This Row],[Item number]],[1]Sheet1!$A:$B,2,0)</f>
        <v>SPOTTING DRILL 90° MC Ø6X13X57,Z=2HM</v>
      </c>
      <c r="C6" s="22">
        <v>1850</v>
      </c>
      <c r="D6" s="24">
        <v>1</v>
      </c>
      <c r="E6" s="19" t="s">
        <v>13</v>
      </c>
      <c r="F6" s="19" t="s">
        <v>12</v>
      </c>
      <c r="G6" s="19">
        <v>20</v>
      </c>
    </row>
    <row r="7" spans="1:7" x14ac:dyDescent="0.25">
      <c r="A7" s="23">
        <v>1024033120</v>
      </c>
      <c r="B7" s="27" t="str">
        <f>VLOOKUP(Table1456[[#This Row],[Item number]],[1]Sheet1!$A:$B,2,0)</f>
        <v>DRILL MC Ø3.3X27X30XØ4X66 MM.</v>
      </c>
      <c r="C7" s="22">
        <v>900</v>
      </c>
      <c r="D7" s="24">
        <v>1</v>
      </c>
      <c r="E7" s="19" t="s">
        <v>13</v>
      </c>
      <c r="F7" s="19" t="s">
        <v>12</v>
      </c>
      <c r="G7" s="19">
        <v>20</v>
      </c>
    </row>
    <row r="8" spans="1:7" x14ac:dyDescent="0.25">
      <c r="A8" s="23">
        <v>1031040120</v>
      </c>
      <c r="B8" s="28" t="str">
        <f>VLOOKUP(Table1456[[#This Row],[Item number]],[1]Sheet1!$A:$B,2,0)</f>
        <v>TAP M4-6H HSS-E DIN371</v>
      </c>
      <c r="C8" s="22">
        <v>450</v>
      </c>
      <c r="D8" s="24">
        <v>1</v>
      </c>
      <c r="E8" s="19" t="s">
        <v>13</v>
      </c>
      <c r="F8" s="19" t="s">
        <v>12</v>
      </c>
      <c r="G8" s="19">
        <v>20</v>
      </c>
    </row>
    <row r="9" spans="1:7" x14ac:dyDescent="0.25">
      <c r="A9" s="23">
        <v>1026050121</v>
      </c>
      <c r="B9" s="28" t="str">
        <f>VLOOKUP(Table1456[[#This Row],[Item number]],[1]Sheet1!$A:$B,2,0)</f>
        <v>SPOTTING DRILL 90° MC Ø5X13X50,Z=2</v>
      </c>
      <c r="C9" s="22">
        <v>2000</v>
      </c>
      <c r="D9" s="24">
        <v>1</v>
      </c>
      <c r="E9" s="19" t="s">
        <v>13</v>
      </c>
      <c r="F9" s="19" t="s">
        <v>12</v>
      </c>
      <c r="G9" s="19">
        <v>20</v>
      </c>
    </row>
    <row r="10" spans="1:7" x14ac:dyDescent="0.25">
      <c r="A10" s="24">
        <v>1042006404</v>
      </c>
      <c r="B10" s="28" t="str">
        <f>VLOOKUP(Table1456[[#This Row],[Item number]],[1]Sheet1!$A:$B,2,0)</f>
        <v>ENDMILL MC Ø6X16X50 Z=6 ALTIN</v>
      </c>
      <c r="C10" s="22">
        <v>300</v>
      </c>
      <c r="D10" s="24">
        <v>1</v>
      </c>
      <c r="E10" s="19" t="s">
        <v>13</v>
      </c>
      <c r="F10" s="19" t="s">
        <v>12</v>
      </c>
      <c r="G10" s="19">
        <v>20</v>
      </c>
    </row>
    <row r="11" spans="1:7" x14ac:dyDescent="0.25">
      <c r="A11" s="24">
        <v>1042006404</v>
      </c>
      <c r="B11" s="28" t="str">
        <f>VLOOKUP(Table1456[[#This Row],[Item number]],[1]Sheet1!$A:$B,2,0)</f>
        <v>ENDMILL MC Ø6X16X50 Z=6 ALTIN</v>
      </c>
      <c r="C11" s="22">
        <v>300</v>
      </c>
      <c r="D11" s="24">
        <v>1</v>
      </c>
      <c r="E11" s="19" t="s">
        <v>13</v>
      </c>
      <c r="F11" s="19" t="s">
        <v>12</v>
      </c>
      <c r="G11" s="19">
        <v>20</v>
      </c>
    </row>
    <row r="12" spans="1:7" x14ac:dyDescent="0.25">
      <c r="A12" s="24">
        <v>1028029126</v>
      </c>
      <c r="B12" s="28" t="str">
        <f>VLOOKUP(Table1456[[#This Row],[Item number]],[1]Sheet1!$A:$B,2,0)</f>
        <v>STEP DRILL MC Ø2.9X15X28XØ4X65 TiALN</v>
      </c>
      <c r="C12" s="22">
        <v>650</v>
      </c>
      <c r="D12" s="24">
        <v>1</v>
      </c>
      <c r="E12" s="19" t="s">
        <v>13</v>
      </c>
      <c r="F12" s="19" t="s">
        <v>12</v>
      </c>
      <c r="G12" s="19">
        <v>20</v>
      </c>
    </row>
    <row r="13" spans="1:7" x14ac:dyDescent="0.25">
      <c r="A13" s="24">
        <v>1021025122</v>
      </c>
      <c r="B13" s="28" t="str">
        <f>VLOOKUP(Table1456[[#This Row],[Item number]],[1]Sheet1!$A:$B,2,0)</f>
        <v>DRILL MC Ø2.5X20XØ4X60, Z=2</v>
      </c>
      <c r="C13" s="22">
        <v>900</v>
      </c>
      <c r="D13" s="24">
        <v>1</v>
      </c>
      <c r="E13" s="19" t="s">
        <v>13</v>
      </c>
      <c r="F13" s="19" t="s">
        <v>12</v>
      </c>
      <c r="G13" s="19">
        <v>20</v>
      </c>
    </row>
    <row r="14" spans="1:7" x14ac:dyDescent="0.25">
      <c r="A14" s="24">
        <v>1031030113</v>
      </c>
      <c r="B14" s="28" t="str">
        <f>VLOOKUP(Table1456[[#This Row],[Item number]],[1]Sheet1!$A:$B,2,0)</f>
        <v>TAP M3-6H HSS-E DIN371</v>
      </c>
      <c r="C14" s="22">
        <v>350</v>
      </c>
      <c r="D14" s="24">
        <v>1</v>
      </c>
      <c r="E14" s="19" t="s">
        <v>13</v>
      </c>
      <c r="F14" s="19" t="s">
        <v>12</v>
      </c>
      <c r="G14" s="19">
        <v>20</v>
      </c>
    </row>
    <row r="15" spans="1:7" x14ac:dyDescent="0.25">
      <c r="A15" s="24">
        <v>1221030120</v>
      </c>
      <c r="B15" s="28" t="str">
        <f>VLOOKUP(Table1456[[#This Row],[Item number]],[1]Sheet1!$A:$B,2,0)</f>
        <v>REAMER MC Ø3.01 (0/+0.004)X18X38X57 MM.</v>
      </c>
      <c r="C15" s="22">
        <v>1000</v>
      </c>
      <c r="D15" s="24">
        <v>1</v>
      </c>
      <c r="E15" s="19" t="s">
        <v>13</v>
      </c>
      <c r="F15" s="19" t="s">
        <v>12</v>
      </c>
      <c r="G15" s="19">
        <v>20</v>
      </c>
    </row>
    <row r="16" spans="1:7" x14ac:dyDescent="0.25">
      <c r="A16" s="24">
        <v>1221030120</v>
      </c>
      <c r="B16" s="28" t="str">
        <f>VLOOKUP(Table1456[[#This Row],[Item number]],[1]Sheet1!$A:$B,2,0)</f>
        <v>REAMER MC Ø3.01 (0/+0.004)X18X38X57 MM.</v>
      </c>
      <c r="C16" s="22">
        <v>1000</v>
      </c>
      <c r="D16" s="24">
        <v>1</v>
      </c>
      <c r="E16" s="19" t="s">
        <v>13</v>
      </c>
      <c r="F16" s="19" t="s">
        <v>12</v>
      </c>
      <c r="G16" s="19">
        <v>20</v>
      </c>
    </row>
    <row r="17" spans="1:7" x14ac:dyDescent="0.25">
      <c r="A17" s="25">
        <v>1043020204</v>
      </c>
      <c r="B17" s="28" t="str">
        <f>VLOOKUP(Table1456[[#This Row],[Item number]],[1]Sheet1!$A:$B,2,0)</f>
        <v>CUTTER MC Ø20X0.4XØ5 Z=64</v>
      </c>
      <c r="C17" s="22">
        <v>2000</v>
      </c>
      <c r="D17" s="24">
        <v>1</v>
      </c>
      <c r="E17" s="19" t="s">
        <v>13</v>
      </c>
      <c r="F17" s="19" t="s">
        <v>12</v>
      </c>
      <c r="G17" s="19">
        <v>20</v>
      </c>
    </row>
  </sheetData>
  <phoneticPr fontId="8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B1" sqref="B1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14</v>
      </c>
    </row>
    <row r="2" spans="1:7" x14ac:dyDescent="0.25">
      <c r="A2" t="s">
        <v>1</v>
      </c>
      <c r="B2" t="s">
        <v>15</v>
      </c>
    </row>
    <row r="3" spans="1:7" x14ac:dyDescent="0.25">
      <c r="A3" t="s">
        <v>2</v>
      </c>
      <c r="B3" s="2">
        <v>10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1" t="s">
        <v>36</v>
      </c>
      <c r="G5" s="1" t="s">
        <v>2</v>
      </c>
    </row>
    <row r="6" spans="1:7" x14ac:dyDescent="0.25">
      <c r="A6" s="20">
        <v>1025080120</v>
      </c>
      <c r="B6" s="4" t="str">
        <f>VLOOKUP(Table14567[[#This Row],[Item number]],[1]Sheet1!$A:$B,2,0)</f>
        <v>CENTERDRILL 90° MC Ø8X27X63 MM.,Z=2HM</v>
      </c>
      <c r="C6" s="22">
        <v>100000</v>
      </c>
      <c r="D6" s="24">
        <v>1</v>
      </c>
      <c r="E6" s="32" t="s">
        <v>14</v>
      </c>
      <c r="F6" s="32" t="s">
        <v>15</v>
      </c>
      <c r="G6" s="32">
        <v>10</v>
      </c>
    </row>
    <row r="7" spans="1:7" x14ac:dyDescent="0.25">
      <c r="A7" s="20">
        <v>1026050121</v>
      </c>
      <c r="B7" s="7" t="str">
        <f>VLOOKUP(Table14567[[#This Row],[Item number]],[1]Sheet1!$A:$B,2,0)</f>
        <v>SPOTTING DRILL 90° MC Ø5X13X50,Z=2</v>
      </c>
      <c r="C7" s="22">
        <v>10000</v>
      </c>
      <c r="D7" s="24">
        <v>1</v>
      </c>
      <c r="E7" s="32" t="s">
        <v>14</v>
      </c>
      <c r="F7" s="32" t="s">
        <v>15</v>
      </c>
      <c r="G7" s="32">
        <v>10</v>
      </c>
    </row>
    <row r="8" spans="1:7" x14ac:dyDescent="0.25">
      <c r="A8" s="20">
        <v>1021025122</v>
      </c>
      <c r="B8" s="5" t="str">
        <f>VLOOKUP(Table14567[[#This Row],[Item number]],[1]Sheet1!$A:$B,2,0)</f>
        <v>DRILL MC Ø2.5X20XØ4X60, Z=2</v>
      </c>
      <c r="C8" s="22">
        <v>5000</v>
      </c>
      <c r="D8" s="24">
        <v>1</v>
      </c>
      <c r="E8" s="32" t="s">
        <v>14</v>
      </c>
      <c r="F8" s="32" t="s">
        <v>15</v>
      </c>
      <c r="G8" s="32">
        <v>10</v>
      </c>
    </row>
    <row r="9" spans="1:7" x14ac:dyDescent="0.25">
      <c r="A9" s="20">
        <v>1031030113</v>
      </c>
      <c r="B9" s="5" t="str">
        <f>VLOOKUP(Table14567[[#This Row],[Item number]],[1]Sheet1!$A:$B,2,0)</f>
        <v>TAP M3-6H HSS-E DIN371</v>
      </c>
      <c r="C9" s="22">
        <v>3000</v>
      </c>
      <c r="D9" s="24">
        <v>1</v>
      </c>
      <c r="E9" s="32" t="s">
        <v>14</v>
      </c>
      <c r="F9" s="32" t="s">
        <v>15</v>
      </c>
      <c r="G9" s="32">
        <v>10</v>
      </c>
    </row>
    <row r="10" spans="1:7" x14ac:dyDescent="0.25">
      <c r="A10" s="20">
        <v>1024033120</v>
      </c>
      <c r="B10" s="5" t="str">
        <f>VLOOKUP(Table14567[[#This Row],[Item number]],[1]Sheet1!$A:$B,2,0)</f>
        <v>DRILL MC Ø3.3X27X30XØ4X66 MM.</v>
      </c>
      <c r="C10" s="22">
        <v>10000</v>
      </c>
      <c r="D10" s="24">
        <v>1</v>
      </c>
      <c r="E10" s="32" t="s">
        <v>14</v>
      </c>
      <c r="F10" s="32" t="s">
        <v>15</v>
      </c>
      <c r="G10" s="32">
        <v>10</v>
      </c>
    </row>
    <row r="11" spans="1:7" x14ac:dyDescent="0.25">
      <c r="A11" s="20">
        <v>1042006404</v>
      </c>
      <c r="B11" s="5" t="str">
        <f>VLOOKUP(Table14567[[#This Row],[Item number]],[1]Sheet1!$A:$B,2,0)</f>
        <v>ENDMILL MC Ø6X16X50 Z=6 ALTIN</v>
      </c>
      <c r="C11" s="22">
        <v>10000</v>
      </c>
      <c r="D11" s="24">
        <v>1</v>
      </c>
      <c r="E11" s="32" t="s">
        <v>14</v>
      </c>
      <c r="F11" s="32" t="s">
        <v>15</v>
      </c>
      <c r="G11" s="32">
        <v>10</v>
      </c>
    </row>
    <row r="12" spans="1:7" x14ac:dyDescent="0.25">
      <c r="A12" s="20">
        <v>1031040120</v>
      </c>
      <c r="B12" s="5" t="str">
        <f>VLOOKUP(Table14567[[#This Row],[Item number]],[1]Sheet1!$A:$B,2,0)</f>
        <v>TAP M4-6H HSS-E DIN371</v>
      </c>
      <c r="C12" s="22">
        <v>3000</v>
      </c>
      <c r="D12" s="24">
        <v>1</v>
      </c>
      <c r="E12" s="32" t="s">
        <v>14</v>
      </c>
      <c r="F12" s="32" t="s">
        <v>15</v>
      </c>
      <c r="G12" s="32">
        <v>10</v>
      </c>
    </row>
    <row r="13" spans="1:7" x14ac:dyDescent="0.25">
      <c r="A13" s="20">
        <v>1021038122</v>
      </c>
      <c r="B13" s="5" t="str">
        <f>VLOOKUP(Table14567[[#This Row],[Item number]],[1]Sheet1!$A:$B,2,0)</f>
        <v>DRILL MC Ø3.8X25X40XØ4X90, Z=2</v>
      </c>
      <c r="C13" s="22">
        <v>5000</v>
      </c>
      <c r="D13" s="24">
        <v>1</v>
      </c>
      <c r="E13" s="32" t="s">
        <v>14</v>
      </c>
      <c r="F13" s="32" t="s">
        <v>15</v>
      </c>
      <c r="G13" s="32">
        <v>10</v>
      </c>
    </row>
    <row r="14" spans="1:7" x14ac:dyDescent="0.25">
      <c r="A14" s="20">
        <v>1221050123</v>
      </c>
      <c r="B14" s="5" t="str">
        <f>VLOOKUP(Table14567[[#This Row],[Item number]],[1]Sheet1!$A:$B,2,0)</f>
        <v>REAMER MC Ø5 H7X23XØ5X86 Z=6</v>
      </c>
      <c r="C14" s="22">
        <v>5000</v>
      </c>
      <c r="D14" s="24">
        <v>1</v>
      </c>
      <c r="E14" s="32" t="s">
        <v>14</v>
      </c>
      <c r="F14" s="32" t="s">
        <v>15</v>
      </c>
      <c r="G14" s="32">
        <v>10</v>
      </c>
    </row>
    <row r="15" spans="1:7" x14ac:dyDescent="0.25">
      <c r="A15" s="20">
        <v>1221040163</v>
      </c>
      <c r="B15" s="5" t="str">
        <f>VLOOKUP(Table14567[[#This Row],[Item number]],[1]Sheet1!$A:$B,2,0)</f>
        <v>REAMER MC Ø4.015 (0/+0.002)X19XØ4X28X75 Z=6</v>
      </c>
      <c r="C15" s="22">
        <v>5000</v>
      </c>
      <c r="D15" s="24">
        <v>1</v>
      </c>
      <c r="E15" s="32" t="s">
        <v>14</v>
      </c>
      <c r="F15" s="32" t="s">
        <v>15</v>
      </c>
      <c r="G15" s="32">
        <v>10</v>
      </c>
    </row>
    <row r="16" spans="1:7" x14ac:dyDescent="0.25">
      <c r="A16" s="20">
        <v>1023048120</v>
      </c>
      <c r="B16" s="6" t="str">
        <f>VLOOKUP(Table14567[[#This Row],[Item number]],[1]Sheet1!$A:$B,2,0)</f>
        <v>DRILL MC Ø4.8X62, Z=3HM</v>
      </c>
      <c r="C16" s="22">
        <v>5000</v>
      </c>
      <c r="D16" s="24">
        <v>1</v>
      </c>
      <c r="E16" s="32" t="s">
        <v>14</v>
      </c>
      <c r="F16" s="32" t="s">
        <v>15</v>
      </c>
      <c r="G16" s="32">
        <v>10</v>
      </c>
    </row>
    <row r="17" spans="1:7" x14ac:dyDescent="0.25">
      <c r="A17" s="20">
        <v>1021068120</v>
      </c>
      <c r="B17" s="6" t="str">
        <f>VLOOKUP(Table14567[[#This Row],[Item number]],[1]Sheet1!$A:$B,2,0)</f>
        <v>DRILL MC Ø6.8X20XØ6.8X100</v>
      </c>
      <c r="C17" s="22">
        <v>1800</v>
      </c>
      <c r="D17" s="24">
        <v>1</v>
      </c>
      <c r="E17" s="32" t="s">
        <v>14</v>
      </c>
      <c r="F17" s="32" t="s">
        <v>15</v>
      </c>
      <c r="G17" s="32">
        <v>10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E705-C651-4D6B-BCC2-43EC2549581C}">
  <dimension ref="A1:G17"/>
  <sheetViews>
    <sheetView tabSelected="1" workbookViewId="0">
      <selection activeCell="E27" sqref="E27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t="s">
        <v>34</v>
      </c>
    </row>
    <row r="2" spans="1:7" x14ac:dyDescent="0.25">
      <c r="A2" t="s">
        <v>1</v>
      </c>
      <c r="B2" t="s">
        <v>15</v>
      </c>
    </row>
    <row r="3" spans="1:7" x14ac:dyDescent="0.25">
      <c r="A3" t="s">
        <v>2</v>
      </c>
      <c r="B3" s="2">
        <v>10</v>
      </c>
    </row>
    <row r="5" spans="1:7" ht="20.100000000000001" customHeight="1" x14ac:dyDescent="0.25">
      <c r="A5" s="1" t="s">
        <v>0</v>
      </c>
      <c r="B5" s="1" t="s">
        <v>3</v>
      </c>
      <c r="C5" s="1" t="s">
        <v>4</v>
      </c>
      <c r="D5" s="1" t="s">
        <v>5</v>
      </c>
      <c r="E5" s="1" t="s">
        <v>35</v>
      </c>
      <c r="F5" s="1" t="s">
        <v>36</v>
      </c>
      <c r="G5" s="1" t="s">
        <v>2</v>
      </c>
    </row>
    <row r="6" spans="1:7" x14ac:dyDescent="0.25">
      <c r="A6" s="20">
        <v>1026050121</v>
      </c>
      <c r="B6" s="4" t="str">
        <f>VLOOKUP(Table145673[[#This Row],[Item number]],[1]Sheet1!$A:$B,2,0)</f>
        <v>SPOTTING DRILL 90° MC Ø5X13X50,Z=2</v>
      </c>
      <c r="C6" s="22">
        <v>5000</v>
      </c>
      <c r="D6" s="24">
        <v>1</v>
      </c>
      <c r="E6" s="32" t="s">
        <v>34</v>
      </c>
      <c r="F6" s="32" t="s">
        <v>15</v>
      </c>
      <c r="G6" s="32">
        <v>10</v>
      </c>
    </row>
    <row r="7" spans="1:7" x14ac:dyDescent="0.25">
      <c r="A7" s="20">
        <v>60213025</v>
      </c>
      <c r="B7" s="4" t="str">
        <f>VLOOKUP(Table145673[[#This Row],[Item number]],[1]Sheet1!$A:$B,2,0)</f>
        <v>DRILL MC Q2.5X57,Z=2</v>
      </c>
      <c r="C7" s="22">
        <v>5000</v>
      </c>
      <c r="D7" s="24">
        <v>1</v>
      </c>
      <c r="E7" s="32" t="s">
        <v>34</v>
      </c>
      <c r="F7" s="32" t="s">
        <v>15</v>
      </c>
      <c r="G7" s="32">
        <v>10</v>
      </c>
    </row>
    <row r="8" spans="1:7" x14ac:dyDescent="0.25">
      <c r="A8" s="20">
        <v>60829006</v>
      </c>
      <c r="B8" s="4" t="str">
        <f>VLOOKUP(Table145673[[#This Row],[Item number]],[1]Sheet1!$A:$B,2,0)</f>
        <v>TAP M3-6H HSS (N360-3)</v>
      </c>
      <c r="C8" s="22">
        <v>1000</v>
      </c>
      <c r="D8" s="24">
        <v>1</v>
      </c>
      <c r="E8" s="32" t="s">
        <v>34</v>
      </c>
      <c r="F8" s="32" t="s">
        <v>15</v>
      </c>
      <c r="G8" s="32">
        <v>10</v>
      </c>
    </row>
    <row r="9" spans="1:7" x14ac:dyDescent="0.25">
      <c r="A9" s="20">
        <v>1024033120</v>
      </c>
      <c r="B9" s="4" t="str">
        <f>VLOOKUP(Table145673[[#This Row],[Item number]],[1]Sheet1!$A:$B,2,0)</f>
        <v>DRILL MC Ø3.3X27X30XØ4X66 MM.</v>
      </c>
      <c r="C9" s="22">
        <v>1000</v>
      </c>
      <c r="D9" s="24">
        <v>1</v>
      </c>
      <c r="E9" s="32" t="s">
        <v>34</v>
      </c>
      <c r="F9" s="32" t="s">
        <v>15</v>
      </c>
      <c r="G9" s="32">
        <v>10</v>
      </c>
    </row>
    <row r="10" spans="1:7" x14ac:dyDescent="0.25">
      <c r="A10" s="20">
        <v>60829008</v>
      </c>
      <c r="B10" s="4" t="str">
        <f>VLOOKUP(Table145673[[#This Row],[Item number]],[1]Sheet1!$A:$B,2,0)</f>
        <v>TAP M4-6H HSSE (N360-3)</v>
      </c>
      <c r="C10" s="22">
        <v>1000</v>
      </c>
      <c r="D10" s="24">
        <v>1</v>
      </c>
      <c r="E10" s="32" t="s">
        <v>34</v>
      </c>
      <c r="F10" s="32" t="s">
        <v>15</v>
      </c>
      <c r="G10" s="32">
        <v>10</v>
      </c>
    </row>
    <row r="11" spans="1:7" x14ac:dyDescent="0.25">
      <c r="A11" s="20">
        <v>1021048140</v>
      </c>
      <c r="B11" s="4" t="str">
        <f>VLOOKUP(Table145673[[#This Row],[Item number]],[1]Sheet1!$A:$B,2,0)</f>
        <v>DRILL MC Ø4.8X66</v>
      </c>
      <c r="C11" s="22">
        <v>1000</v>
      </c>
      <c r="D11" s="24">
        <v>1</v>
      </c>
      <c r="E11" s="32" t="s">
        <v>34</v>
      </c>
      <c r="F11" s="32" t="s">
        <v>15</v>
      </c>
      <c r="G11" s="32">
        <v>10</v>
      </c>
    </row>
    <row r="12" spans="1:7" x14ac:dyDescent="0.25">
      <c r="A12" s="20">
        <v>1025040121</v>
      </c>
      <c r="B12" s="4" t="str">
        <f>VLOOKUP(Table145673[[#This Row],[Item number]],[1]Sheet1!$A:$B,2,0)</f>
        <v>CENTERDRILL MC 90° Ø4X10X50,Z=2HM</v>
      </c>
      <c r="C12" s="22">
        <v>5000</v>
      </c>
      <c r="D12" s="24">
        <v>1</v>
      </c>
      <c r="E12" s="32" t="s">
        <v>34</v>
      </c>
      <c r="F12" s="32" t="s">
        <v>15</v>
      </c>
      <c r="G12" s="32">
        <v>10</v>
      </c>
    </row>
    <row r="13" spans="1:7" x14ac:dyDescent="0.25">
      <c r="A13" s="20">
        <v>1021068120</v>
      </c>
      <c r="B13" s="4" t="str">
        <f>VLOOKUP(Table145673[[#This Row],[Item number]],[1]Sheet1!$A:$B,2,0)</f>
        <v>DRILL MC Ø6.8X20XØ6.8X100</v>
      </c>
      <c r="C13" s="22">
        <v>1000</v>
      </c>
      <c r="D13" s="24">
        <v>1</v>
      </c>
      <c r="E13" s="32" t="s">
        <v>34</v>
      </c>
      <c r="F13" s="32" t="s">
        <v>15</v>
      </c>
      <c r="G13" s="32">
        <v>10</v>
      </c>
    </row>
    <row r="14" spans="1:7" x14ac:dyDescent="0.25">
      <c r="A14" s="20">
        <v>1021037120</v>
      </c>
      <c r="B14" s="4" t="str">
        <f>VLOOKUP(Table145673[[#This Row],[Item number]],[1]Sheet1!$A:$B,2,0)</f>
        <v>TWIST DRILL MC Ø3.75X24.4X49XØ6X79 Z=2</v>
      </c>
      <c r="C14" s="22">
        <v>1000</v>
      </c>
      <c r="D14" s="24">
        <v>1</v>
      </c>
      <c r="E14" s="32" t="s">
        <v>34</v>
      </c>
      <c r="F14" s="32" t="s">
        <v>15</v>
      </c>
      <c r="G14" s="32">
        <v>10</v>
      </c>
    </row>
    <row r="15" spans="1:7" x14ac:dyDescent="0.25">
      <c r="A15" s="20">
        <v>1221070120</v>
      </c>
      <c r="B15" s="4" t="str">
        <f>VLOOKUP(Table145673[[#This Row],[Item number]],[1]Sheet1!$A:$B,2,0)</f>
        <v>REAMER MC Ø7 G7X110 Z=6</v>
      </c>
      <c r="C15" s="22">
        <v>1000</v>
      </c>
      <c r="D15" s="24">
        <v>1</v>
      </c>
      <c r="E15" s="32" t="s">
        <v>34</v>
      </c>
      <c r="F15" s="32" t="s">
        <v>15</v>
      </c>
      <c r="G15" s="32">
        <v>10</v>
      </c>
    </row>
    <row r="16" spans="1:7" x14ac:dyDescent="0.25">
      <c r="A16" s="29">
        <v>1221040115</v>
      </c>
      <c r="B16" s="4" t="str">
        <f>VLOOKUP(Table145673[[#This Row],[Item number]],[1]Sheet1!$A:$B,2,0)</f>
        <v>REAMER HSS Ø4.02X19X47XØ4X75, Z=6</v>
      </c>
      <c r="C16" s="22">
        <v>1000</v>
      </c>
      <c r="D16" s="24">
        <v>1</v>
      </c>
      <c r="E16" s="32" t="s">
        <v>34</v>
      </c>
      <c r="F16" s="32" t="s">
        <v>15</v>
      </c>
      <c r="G16" s="32">
        <v>10</v>
      </c>
    </row>
    <row r="17" spans="1:7" x14ac:dyDescent="0.25">
      <c r="A17" s="29">
        <v>1042006200</v>
      </c>
      <c r="B17" s="4" t="str">
        <f>VLOOKUP(Table145673[[#This Row],[Item number]],[1]Sheet1!$A:$B,2,0)</f>
        <v>ENDMILL MC Ø6.0X13XØ6X57,Z=4</v>
      </c>
      <c r="C17" s="30">
        <v>5000</v>
      </c>
      <c r="D17" s="24">
        <v>1</v>
      </c>
      <c r="E17" s="32" t="s">
        <v>34</v>
      </c>
      <c r="F17" s="32" t="s">
        <v>15</v>
      </c>
      <c r="G17" s="32">
        <v>10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Plush  lever</vt:lpstr>
      <vt:lpstr>Lever</vt:lpstr>
      <vt:lpstr>Y-BELT TENSIONER</vt:lpstr>
      <vt:lpstr>Knife Support</vt:lpstr>
      <vt:lpstr>Feed dog fork 1052235.1.00</vt:lpstr>
      <vt:lpstr>Feed dog fork 031728.50.00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Anuwat Ratano</cp:lastModifiedBy>
  <cp:lastPrinted>2025-01-22T02:45:48Z</cp:lastPrinted>
  <dcterms:created xsi:type="dcterms:W3CDTF">2024-12-25T08:19:07Z</dcterms:created>
  <dcterms:modified xsi:type="dcterms:W3CDTF">2025-01-31T02:31:43Z</dcterms:modified>
</cp:coreProperties>
</file>